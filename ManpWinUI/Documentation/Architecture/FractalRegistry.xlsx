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892DE52E-2DEE-4B8B-94E2-130D58F8621D}" xr6:coauthVersionLast="36" xr6:coauthVersionMax="36" xr10:uidLastSave="{00000000-0000-0000-0000-000000000000}"/>
  <bookViews>
    <workbookView xWindow="0" yWindow="0" windowWidth="10575" windowHeight="12015" tabRatio="315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FractalRegistry!$A$1:$K$297</definedName>
    <definedName name="Data">FractalRegistry!$A$1:$K$297</definedName>
  </definedNames>
  <calcPr calcId="191029"/>
</workbook>
</file>

<file path=xl/calcChain.xml><?xml version="1.0" encoding="utf-8"?>
<calcChain xmlns="http://schemas.openxmlformats.org/spreadsheetml/2006/main">
  <c r="A44" i="1" l="1"/>
  <c r="A45" i="1" s="1"/>
  <c r="A46" i="1" s="1"/>
  <c r="A47" i="1" s="1"/>
  <c r="A48" i="1" s="1"/>
  <c r="A49" i="1" s="1"/>
  <c r="E304" i="1" l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l="1"/>
  <c r="A50" i="1" s="1"/>
  <c r="A51" i="1" s="1"/>
  <c r="A52" i="1" s="1"/>
  <c r="A53" i="1" s="1"/>
  <c r="A54" i="1" s="1"/>
  <c r="A55" i="1" s="1"/>
  <c r="A56" i="1" l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l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70" i="1" s="1"/>
  <c r="A271" i="1" s="1"/>
  <c r="A272" i="1" s="1"/>
  <c r="A273" i="1" s="1"/>
  <c r="A274" i="1" s="1"/>
  <c r="A275" i="1" s="1"/>
  <c r="A276" i="1" s="1"/>
  <c r="A277" i="1" s="1"/>
  <c r="A278" i="1" l="1"/>
  <c r="A279" i="1" s="1"/>
  <c r="A280" i="1" l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</calcChain>
</file>

<file path=xl/sharedStrings.xml><?xml version="1.0" encoding="utf-8"?>
<sst xmlns="http://schemas.openxmlformats.org/spreadsheetml/2006/main" count="1148" uniqueCount="378">
  <si>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</si>
  <si>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</si>
  <si>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</si>
  <si>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</si>
  <si>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</si>
  <si>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</si>
  <si>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</si>
  <si>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</si>
  <si>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</si>
  <si>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</si>
  <si>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</si>
  <si>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</si>
  <si>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</si>
  <si>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</si>
  <si>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</si>
  <si>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</si>
  <si>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</si>
  <si>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</si>
  <si>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</si>
  <si>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Logistic Parameter Space</t>
  </si>
  <si>
    <t>Mandelbrot Parameter Space</t>
  </si>
  <si>
    <t>May-Lyapunov Reference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</si>
  <si>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</si>
  <si>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</si>
  <si>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</si>
  <si>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</si>
  <si>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</si>
  <si>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</si>
  <si>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</si>
  <si>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</si>
  <si>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</si>
  <si>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</si>
  <si>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</si>
  <si>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</si>
  <si>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</si>
  <si>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</si>
  <si>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</si>
  <si>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</si>
  <si>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</si>
  <si>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</si>
  <si>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</si>
  <si>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</si>
  <si>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</si>
  <si>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</si>
  <si>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</si>
  <si>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</si>
  <si>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</si>
  <si>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</si>
  <si>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</si>
  <si>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</si>
  <si>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</si>
  <si>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</si>
  <si>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</si>
  <si>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</si>
  <si>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</si>
  <si>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</si>
  <si>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</si>
  <si>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</si>
  <si>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</si>
  <si>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</si>
  <si>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</si>
  <si>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</si>
  <si>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</si>
  <si>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</si>
  <si>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</si>
  <si>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</si>
  <si>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</si>
  <si>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</si>
  <si>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</si>
  <si>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</si>
  <si>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</si>
  <si>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</si>
  <si>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</si>
  <si>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</si>
  <si>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</si>
  <si>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</si>
  <si>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</si>
  <si>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</si>
  <si>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Mandelbrot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</si>
  <si>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</si>
  <si>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</si>
  <si>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</si>
  <si>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</si>
  <si>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</si>
  <si>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</si>
  <si>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</si>
  <si>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</si>
  <si>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</si>
  <si>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</si>
  <si>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</si>
  <si>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</si>
  <si>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</si>
  <si>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</si>
  <si>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</si>
  <si>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</si>
  <si>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</si>
  <si>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</si>
  <si>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</si>
  <si>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</si>
  <si>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</si>
  <si>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</si>
  <si>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</si>
  <si>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</si>
  <si>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</si>
  <si>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</si>
  <si>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</si>
  <si>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</si>
  <si>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</si>
  <si>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</si>
  <si>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</si>
  <si>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</si>
  <si>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</si>
  <si>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</si>
  <si>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</si>
  <si>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</si>
  <si>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</si>
  <si>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</si>
  <si>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</si>
  <si>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</si>
  <si>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</si>
  <si>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</si>
  <si>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</si>
  <si>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</si>
  <si>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</si>
  <si>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</si>
  <si>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</si>
  <si>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</si>
  <si>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</si>
  <si>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</si>
  <si>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</si>
  <si>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</si>
  <si>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</si>
  <si>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</si>
  <si>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</si>
  <si>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</si>
  <si>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</si>
  <si>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</si>
  <si>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</si>
  <si>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</si>
  <si>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</si>
  <si>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</si>
  <si>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</si>
  <si>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</si>
  <si>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</si>
  <si>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</si>
  <si>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</si>
  <si>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</si>
  <si>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</si>
  <si>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</si>
  <si>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</si>
  <si>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</si>
  <si>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</si>
  <si>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</si>
  <si>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</si>
  <si>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</si>
  <si>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</si>
  <si>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</si>
  <si>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</si>
  <si>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</si>
  <si>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</si>
  <si>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</si>
  <si>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</si>
  <si>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</si>
  <si>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</si>
  <si>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</si>
  <si>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</si>
  <si>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</si>
  <si>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</si>
  <si>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</si>
  <si>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</si>
  <si>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</si>
  <si>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</si>
  <si>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</si>
  <si>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</si>
  <si>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</si>
  <si>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</si>
  <si>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</si>
  <si>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</si>
  <si>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</si>
  <si>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</si>
  <si>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</si>
  <si>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</si>
  <si>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</si>
  <si>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</si>
  <si>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</si>
  <si>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</si>
  <si>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</si>
  <si>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</si>
  <si>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</si>
  <si>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</si>
  <si>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</si>
  <si>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</si>
  <si>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</si>
  <si>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</si>
  <si>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</si>
  <si>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</si>
  <si>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</si>
  <si>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</si>
  <si>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</si>
  <si>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</si>
  <si>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</si>
  <si>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</si>
  <si>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</si>
  <si>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</si>
  <si>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</si>
  <si>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</si>
  <si>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</si>
  <si>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</si>
  <si>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</si>
  <si>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</si>
  <si>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</si>
  <si>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</si>
  <si>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</si>
  <si>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</si>
  <si>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</si>
  <si>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</si>
  <si>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</si>
  <si>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</si>
  <si>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</si>
  <si>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</si>
  <si>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</si>
  <si>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</si>
  <si>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</si>
  <si>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</si>
  <si>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</si>
  <si>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</si>
  <si>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</si>
  <si>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</si>
  <si>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</si>
  <si>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</si>
  <si>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</si>
  <si>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</si>
  <si>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</si>
  <si>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</si>
  <si>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</si>
  <si>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</si>
  <si>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</si>
  <si>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</si>
  <si>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</si>
  <si>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</si>
  <si>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</si>
  <si>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</si>
  <si>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</si>
  <si>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</si>
  <si>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</si>
  <si>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</si>
  <si>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</si>
  <si>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</si>
  <si>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</si>
  <si>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</si>
  <si>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</si>
  <si>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</si>
  <si>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</si>
  <si>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</si>
  <si>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</si>
  <si>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</si>
  <si>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</si>
  <si>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</si>
  <si>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</si>
  <si>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</si>
  <si>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</si>
  <si>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</si>
  <si>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</si>
  <si>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</si>
  <si>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</si>
  <si>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</si>
  <si>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</si>
  <si>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</si>
  <si>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</si>
  <si>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</si>
  <si>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</si>
  <si>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</si>
  <si>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</si>
  <si>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</si>
  <si>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</si>
  <si>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</si>
  <si>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</si>
  <si>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</si>
  <si>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</si>
  <si>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</si>
  <si>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</si>
  <si>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</si>
  <si>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</si>
  <si>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</si>
  <si>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</si>
  <si>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</si>
  <si>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</si>
  <si>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</si>
  <si>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</si>
  <si>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</si>
  <si>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</si>
  <si>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</si>
  <si>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</si>
  <si>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</si>
  <si>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</si>
  <si>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</si>
  <si>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</si>
  <si>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</si>
  <si>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</si>
  <si>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</si>
  <si>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</si>
  <si>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</si>
  <si>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Pass/Fail</t>
  </si>
  <si>
    <t>Notes</t>
  </si>
  <si>
    <t>Center X</t>
  </si>
  <si>
    <t>Center Y</t>
  </si>
  <si>
    <t>X Scale Width</t>
  </si>
  <si>
    <t>Y Scale Width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</si>
  <si>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</si>
  <si>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</si>
  <si>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</si>
  <si>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</si>
  <si>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</si>
  <si>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</si>
  <si>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</si>
  <si>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</si>
  <si>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</si>
  <si>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</si>
  <si>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</si>
  <si>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</si>
  <si>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</si>
  <si>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</si>
  <si>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</si>
  <si>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</si>
  <si>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</si>
  <si>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</si>
  <si>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</si>
  <si>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</si>
  <si>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</si>
  <si>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</si>
  <si>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</si>
  <si>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</si>
  <si>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</si>
  <si>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another boring black hole, where's the lambda in the formula?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</si>
  <si>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</si>
  <si>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</si>
  <si>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</si>
  <si>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Vertical bands?  Check formulation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</si>
  <si>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</si>
  <si>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</si>
  <si>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</si>
  <si>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</si>
  <si>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</si>
  <si>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</si>
  <si>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</si>
  <si>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</si>
  <si>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</si>
  <si>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</si>
  <si>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</si>
  <si>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</si>
  <si>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</si>
  <si>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</si>
  <si>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</si>
  <si>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</si>
  <si>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</si>
  <si>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</si>
  <si>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</si>
  <si>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</si>
  <si>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</si>
  <si>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</si>
  <si>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</si>
  <si>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</si>
  <si>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Resubmit with NEW numbers; generated</t>
  </si>
  <si>
    <t>looks identical to Minimum Distance</t>
  </si>
  <si>
    <t>Fail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</si>
  <si>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</si>
  <si>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</si>
  <si>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</si>
  <si>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</si>
  <si>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</si>
  <si>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Trigonmetric</t>
  </si>
  <si>
    <t>Classical Polynomials</t>
  </si>
  <si>
    <t>Legendre Polynomial</t>
  </si>
  <si>
    <t>Elliptic Functions</t>
  </si>
  <si>
    <t>Jacobi Elliptic sn</t>
  </si>
  <si>
    <t>Weierstrauss p-function</t>
  </si>
  <si>
    <t>Chebyshev</t>
  </si>
  <si>
    <t>(-0.8737499999999998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</si>
</sst>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lightUp"/>
    </fill>
    <fill>
      <patternFill patternType="lightDown"/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9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164" fontId="0" fillId="0" borderId="11" xfId="0" applyNumberFormat="1" applyBorder="1"/>
    <xf numFmtId="0" fontId="0" fillId="0" borderId="0" xfId="0" applyBorder="1" applyAlignment="1">
      <alignment horizontal="center"/>
    </xf>
    <xf numFmtId="164" fontId="0" fillId="0" borderId="0" xfId="0" applyNumberFormat="1" applyBorder="1"/>
    <xf numFmtId="0" fontId="0" fillId="0" borderId="0" xfId="0" applyAlignment="1">
      <alignment wrapText="1"/>
    </xf>
    <xf numFmtId="0" fontId="0" fillId="0" borderId="11" xfId="0" applyBorder="1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wrapText="1"/>
    </xf>
    <xf numFmtId="2" fontId="0" fillId="0" borderId="12" xfId="0" applyNumberFormat="1" applyBorder="1" applyAlignment="1">
      <alignment horizontal="center"/>
    </xf>
    <xf numFmtId="164" fontId="0" fillId="0" borderId="12" xfId="0" applyNumberFormat="1" applyBorder="1"/>
    <xf numFmtId="0" fontId="0" fillId="0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 applyFont="1"/>
    <xf numFmtId="0" fontId="0" fillId="0" borderId="12" xfId="0" applyBorder="1"/>
    <xf numFmtId="2" fontId="0" fillId="0" borderId="12" xfId="0" applyNumberFormat="1" applyBorder="1"/>
    <xf numFmtId="0" fontId="0" fillId="35" borderId="0" xfId="0" applyFill="1" applyAlignment="1">
      <alignment horizontal="center"/>
    </xf>
    <xf numFmtId="0" fontId="0" fillId="36" borderId="0" xfId="0" applyFill="1" applyBorder="1"/>
    <xf numFmtId="0" fontId="0" fillId="36" borderId="0" xfId="0" applyFill="1" applyBorder="1" applyAlignment="1">
      <alignment horizontal="center"/>
    </xf>
    <xf numFmtId="2" fontId="0" fillId="36" borderId="0" xfId="0" applyNumberFormat="1" applyFill="1" applyBorder="1"/>
    <xf numFmtId="164" fontId="0" fillId="36" borderId="0" xfId="0" applyNumberFormat="1" applyFill="1" applyBorder="1"/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7" borderId="0" xfId="0" applyFill="1" applyAlignment="1">
      <alignment horizontal="center"/>
    </xf>
    <xf numFmtId="0" fontId="0" fillId="37" borderId="0" xfId="0" applyFill="1" applyBorder="1"/>
    <xf numFmtId="0" fontId="0" fillId="37" borderId="0" xfId="0" applyFill="1" applyBorder="1" applyAlignment="1">
      <alignment horizontal="center"/>
    </xf>
    <xf numFmtId="2" fontId="0" fillId="37" borderId="0" xfId="0" applyNumberFormat="1" applyFill="1" applyBorder="1"/>
    <xf numFmtId="164" fontId="0" fillId="37" borderId="0" xfId="0" applyNumberFormat="1" applyFill="1" applyBorder="1"/>
    <xf numFmtId="0" fontId="0" fillId="38" borderId="0" xfId="0" applyFill="1" applyAlignment="1">
      <alignment horizontal="center"/>
    </xf>
    <xf numFmtId="0" fontId="0" fillId="38" borderId="0" xfId="0" applyFill="1"/>
    <xf numFmtId="2" fontId="0" fillId="38" borderId="0" xfId="0" applyNumberFormat="1" applyFill="1"/>
    <xf numFmtId="164" fontId="0" fillId="38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3" sqref="A43:A49"/>
    </sheetView>
  </sheetViews>
  <sheetFormatPr defaultRowHeight="14.25" x14ac:dyDescent="0.45"/>
  <cols>
    <col min="1" max="1" width="5.3984375" style="2" customWidth="1"/>
    <col min="2" max="2" width="15.1328125" customWidth="1"/>
    <col min="3" max="3" width="22.265625" customWidth="1"/>
    <col min="4" max="4" width="6.46484375" style="2" customWidth="1"/>
    <col min="5" max="5" width="5.796875" customWidth="1"/>
    <col min="6" max="6" width="6.3984375" customWidth="1"/>
    <col min="7" max="7" width="6.46484375" customWidth="1"/>
    <col min="8" max="8" width="16.265625" bestFit="1" customWidth="1"/>
    <col min="9" max="9" width="16.86328125" customWidth="1"/>
    <col min="10" max="10" width="21.9296875" bestFit="1" customWidth="1"/>
    <col min="11" max="11" width="18.86328125" customWidth="1"/>
  </cols>
  <sheetData>
    <row r="1" spans="1:11" ht="17.25" customHeight="1" thickBot="1" x14ac:dyDescent="0.5">
      <c r="A1" s="1" t="s">
        <v>300</v>
      </c>
      <c r="B1" s="1" t="s">
        <v>0</v>
      </c>
      <c r="C1" s="1" t="s">
        <v>301</v>
      </c>
      <c r="D1" s="1" t="s">
        <v>302</v>
      </c>
      <c r="E1" s="1" t="s">
        <v>303</v>
      </c>
      <c r="F1" s="1" t="s">
        <v>304</v>
      </c>
      <c r="G1" s="1" t="s">
        <v>305</v>
      </c>
      <c r="H1" s="1" t="s">
        <v>306</v>
      </c>
      <c r="I1" s="1" t="s">
        <v>307</v>
      </c>
      <c r="J1" s="1" t="s">
        <v>349</v>
      </c>
      <c r="K1" s="36" t="s">
        <v>366</v>
      </c>
    </row>
    <row r="2" spans="1:11" x14ac:dyDescent="0.45">
      <c r="A2" s="2">
        <v>1</v>
      </c>
      <c r="B2" t="s">
        <v>1</v>
      </c>
      <c r="C2" t="s">
        <v>2</v>
      </c>
      <c r="D2" s="2" t="s">
        <v>308</v>
      </c>
      <c r="F2" s="3"/>
      <c r="G2" s="3"/>
      <c r="H2" s="4"/>
      <c r="I2" s="4"/>
    </row>
    <row r="3" spans="1:11" x14ac:dyDescent="0.45">
      <c r="A3" s="2">
        <f>A2+1</f>
        <v>2</v>
      </c>
      <c r="B3" t="s">
        <v>1</v>
      </c>
      <c r="C3" t="s">
        <v>3</v>
      </c>
      <c r="D3" s="2" t="s">
        <v>308</v>
      </c>
      <c r="F3" s="3"/>
      <c r="G3" s="3"/>
      <c r="H3" s="4"/>
      <c r="I3" s="4"/>
    </row>
    <row r="4" spans="1:11" x14ac:dyDescent="0.45">
      <c r="A4" s="2">
        <f t="shared" ref="A4:A71" si="0">A3+1</f>
        <v>3</v>
      </c>
      <c r="B4" t="s">
        <v>1</v>
      </c>
      <c r="C4" t="s">
        <v>4</v>
      </c>
      <c r="D4" s="2" t="s">
        <v>308</v>
      </c>
      <c r="F4" s="3"/>
      <c r="G4" s="3"/>
      <c r="H4" s="4"/>
      <c r="I4" s="4"/>
    </row>
    <row r="5" spans="1:11" x14ac:dyDescent="0.45">
      <c r="A5" s="2">
        <f t="shared" si="0"/>
        <v>4</v>
      </c>
      <c r="B5" t="s">
        <v>1</v>
      </c>
      <c r="C5" t="s">
        <v>5</v>
      </c>
      <c r="D5" s="2" t="s">
        <v>308</v>
      </c>
      <c r="F5" s="3"/>
      <c r="G5" s="3"/>
      <c r="H5" s="4"/>
      <c r="I5" s="4"/>
    </row>
    <row r="6" spans="1:11" x14ac:dyDescent="0.45">
      <c r="A6" s="2">
        <f t="shared" si="0"/>
        <v>5</v>
      </c>
      <c r="B6" t="s">
        <v>1</v>
      </c>
      <c r="C6" t="s">
        <v>6</v>
      </c>
      <c r="D6" s="2" t="s">
        <v>308</v>
      </c>
      <c r="F6" s="3"/>
      <c r="G6" s="3"/>
      <c r="H6" s="4"/>
      <c r="I6" s="4"/>
    </row>
    <row r="7" spans="1:11" x14ac:dyDescent="0.45">
      <c r="A7" s="2">
        <f t="shared" si="0"/>
        <v>6</v>
      </c>
      <c r="B7" t="s">
        <v>1</v>
      </c>
      <c r="C7" t="s">
        <v>7</v>
      </c>
      <c r="D7" s="2" t="s">
        <v>308</v>
      </c>
      <c r="F7" s="3"/>
      <c r="G7" s="3"/>
      <c r="H7" s="4"/>
      <c r="I7" s="4"/>
    </row>
    <row r="8" spans="1:11" ht="14.65" thickBot="1" x14ac:dyDescent="0.5">
      <c r="A8" s="9">
        <f t="shared" si="0"/>
        <v>7</v>
      </c>
      <c r="B8" s="6" t="s">
        <v>1</v>
      </c>
      <c r="C8" s="6" t="s">
        <v>8</v>
      </c>
      <c r="D8" s="5" t="s">
        <v>308</v>
      </c>
      <c r="E8" s="6"/>
      <c r="F8" s="7"/>
      <c r="G8" s="7"/>
      <c r="H8" s="8"/>
      <c r="I8" s="8"/>
    </row>
    <row r="9" spans="1:11" x14ac:dyDescent="0.45">
      <c r="A9" s="2">
        <f t="shared" si="0"/>
        <v>8</v>
      </c>
      <c r="B9" t="s">
        <v>9</v>
      </c>
      <c r="C9" t="s">
        <v>10</v>
      </c>
      <c r="D9" s="2" t="s">
        <v>308</v>
      </c>
      <c r="E9" s="11"/>
      <c r="F9" s="3"/>
      <c r="G9" s="3"/>
      <c r="H9" s="4"/>
      <c r="I9" s="4"/>
    </row>
    <row r="10" spans="1:11" x14ac:dyDescent="0.45">
      <c r="A10" s="2">
        <f t="shared" si="0"/>
        <v>9</v>
      </c>
      <c r="B10" t="s">
        <v>9</v>
      </c>
      <c r="C10" t="s">
        <v>11</v>
      </c>
      <c r="D10" s="2" t="s">
        <v>308</v>
      </c>
      <c r="E10" s="11"/>
      <c r="F10" s="3"/>
      <c r="G10" s="3"/>
      <c r="H10" s="4"/>
      <c r="I10" s="4"/>
    </row>
    <row r="11" spans="1:11" x14ac:dyDescent="0.45">
      <c r="A11" s="2">
        <f t="shared" si="0"/>
        <v>10</v>
      </c>
      <c r="B11" t="s">
        <v>9</v>
      </c>
      <c r="C11" t="s">
        <v>12</v>
      </c>
      <c r="D11" s="2" t="s">
        <v>308</v>
      </c>
      <c r="E11" s="11"/>
      <c r="F11" s="3"/>
      <c r="G11" s="3"/>
      <c r="H11" s="4"/>
      <c r="I11" s="4"/>
    </row>
    <row r="12" spans="1:11" x14ac:dyDescent="0.45">
      <c r="A12" s="2">
        <f t="shared" si="0"/>
        <v>11</v>
      </c>
      <c r="B12" t="s">
        <v>9</v>
      </c>
      <c r="C12" t="s">
        <v>13</v>
      </c>
      <c r="D12" s="2" t="s">
        <v>308</v>
      </c>
      <c r="E12" s="11"/>
      <c r="F12" s="3"/>
      <c r="G12" s="3"/>
      <c r="H12" s="4"/>
      <c r="I12" s="4"/>
    </row>
    <row r="13" spans="1:11" x14ac:dyDescent="0.45">
      <c r="A13" s="2">
        <f t="shared" si="0"/>
        <v>12</v>
      </c>
      <c r="B13" t="s">
        <v>9</v>
      </c>
      <c r="C13" t="s">
        <v>14</v>
      </c>
      <c r="D13" s="2" t="s">
        <v>308</v>
      </c>
      <c r="E13" s="11"/>
      <c r="F13" s="3"/>
      <c r="G13" s="3"/>
      <c r="H13" s="4"/>
      <c r="I13" s="4"/>
    </row>
    <row r="14" spans="1:11" ht="14.65" thickBot="1" x14ac:dyDescent="0.5">
      <c r="A14" s="9">
        <f t="shared" si="0"/>
        <v>13</v>
      </c>
      <c r="B14" s="6" t="s">
        <v>9</v>
      </c>
      <c r="C14" s="6" t="s">
        <v>15</v>
      </c>
      <c r="D14" s="5" t="s">
        <v>308</v>
      </c>
      <c r="E14" s="12"/>
      <c r="F14" s="7"/>
      <c r="G14" s="7"/>
      <c r="H14" s="8"/>
      <c r="I14" s="8"/>
    </row>
    <row r="15" spans="1:11" x14ac:dyDescent="0.45">
      <c r="A15" s="2">
        <f t="shared" si="0"/>
        <v>14</v>
      </c>
      <c r="B15" t="s">
        <v>16</v>
      </c>
      <c r="C15" t="s">
        <v>17</v>
      </c>
      <c r="D15" s="2" t="s">
        <v>308</v>
      </c>
      <c r="E15" s="11"/>
      <c r="F15" s="3"/>
      <c r="G15" s="3"/>
      <c r="H15" s="4"/>
      <c r="I15" s="4"/>
    </row>
    <row r="16" spans="1:11" x14ac:dyDescent="0.45">
      <c r="A16" s="2">
        <f t="shared" si="0"/>
        <v>15</v>
      </c>
      <c r="B16" t="s">
        <v>16</v>
      </c>
      <c r="C16" t="s">
        <v>18</v>
      </c>
      <c r="D16" s="2" t="s">
        <v>308</v>
      </c>
      <c r="E16" s="11"/>
      <c r="F16" s="3"/>
      <c r="G16" s="3"/>
      <c r="H16" s="4"/>
      <c r="I16" s="4"/>
    </row>
    <row r="17" spans="1:9" ht="31.5" customHeight="1" x14ac:dyDescent="0.45">
      <c r="A17" s="2">
        <f t="shared" si="0"/>
        <v>16</v>
      </c>
      <c r="B17" t="s">
        <v>16</v>
      </c>
      <c r="C17" t="s">
        <v>19</v>
      </c>
      <c r="D17" s="9" t="s">
        <v>308</v>
      </c>
      <c r="E17" s="13" t="s">
        <v>337</v>
      </c>
      <c r="F17" s="3"/>
      <c r="G17" s="3"/>
      <c r="H17" s="4"/>
      <c r="I17" s="4"/>
    </row>
    <row r="18" spans="1:9" x14ac:dyDescent="0.45">
      <c r="A18" s="2">
        <f t="shared" si="0"/>
        <v>17</v>
      </c>
      <c r="B18" t="s">
        <v>16</v>
      </c>
      <c r="C18" t="s">
        <v>20</v>
      </c>
      <c r="D18" s="9" t="s">
        <v>308</v>
      </c>
      <c r="E18" s="13"/>
      <c r="F18" s="3"/>
      <c r="G18" s="3"/>
      <c r="H18" s="4"/>
      <c r="I18" s="4"/>
    </row>
    <row r="19" spans="1:9" ht="31.5" customHeight="1" x14ac:dyDescent="0.45">
      <c r="A19" s="2">
        <f t="shared" si="0"/>
        <v>18</v>
      </c>
      <c r="B19" t="s">
        <v>16</v>
      </c>
      <c r="C19" t="s">
        <v>21</v>
      </c>
      <c r="D19" s="2" t="s">
        <v>308</v>
      </c>
      <c r="E19" s="13" t="s">
        <v>337</v>
      </c>
      <c r="F19" s="3"/>
      <c r="G19" s="3"/>
      <c r="H19" s="4"/>
      <c r="I19" s="4"/>
    </row>
    <row r="20" spans="1:9" ht="14.65" thickBot="1" x14ac:dyDescent="0.5">
      <c r="A20" s="9">
        <f t="shared" si="0"/>
        <v>19</v>
      </c>
      <c r="B20" s="6" t="s">
        <v>16</v>
      </c>
      <c r="C20" s="6" t="s">
        <v>22</v>
      </c>
      <c r="D20" s="5" t="s">
        <v>308</v>
      </c>
      <c r="E20" s="12"/>
      <c r="F20" s="7"/>
      <c r="G20" s="7"/>
      <c r="H20" s="8"/>
      <c r="I20" s="8"/>
    </row>
    <row r="21" spans="1:9" x14ac:dyDescent="0.45">
      <c r="A21" s="2">
        <f t="shared" si="0"/>
        <v>20</v>
      </c>
      <c r="B21" t="s">
        <v>23</v>
      </c>
      <c r="C21" t="s">
        <v>24</v>
      </c>
      <c r="D21" s="2" t="s">
        <v>308</v>
      </c>
      <c r="F21" s="3"/>
      <c r="G21" s="3"/>
      <c r="H21" s="4"/>
      <c r="I21" s="4"/>
    </row>
    <row r="22" spans="1:9" ht="14.65" thickBot="1" x14ac:dyDescent="0.5">
      <c r="A22" s="9">
        <f t="shared" si="0"/>
        <v>21</v>
      </c>
      <c r="B22" s="6" t="s">
        <v>23</v>
      </c>
      <c r="C22" s="6" t="s">
        <v>25</v>
      </c>
      <c r="D22" s="5" t="s">
        <v>308</v>
      </c>
      <c r="E22" s="6"/>
      <c r="F22" s="7"/>
      <c r="G22" s="7"/>
      <c r="H22" s="8"/>
      <c r="I22" s="8"/>
    </row>
    <row r="23" spans="1:9" x14ac:dyDescent="0.45">
      <c r="A23" s="2">
        <f t="shared" si="0"/>
        <v>22</v>
      </c>
      <c r="B23" t="s">
        <v>26</v>
      </c>
      <c r="C23" t="s">
        <v>27</v>
      </c>
      <c r="D23" s="2" t="s">
        <v>308</v>
      </c>
      <c r="E23" s="11"/>
      <c r="F23" s="3"/>
      <c r="G23" s="3"/>
      <c r="H23" s="4"/>
      <c r="I23" s="4"/>
    </row>
    <row r="24" spans="1:9" x14ac:dyDescent="0.45">
      <c r="A24" s="2">
        <f t="shared" si="0"/>
        <v>23</v>
      </c>
      <c r="B24" t="s">
        <v>26</v>
      </c>
      <c r="C24" t="s">
        <v>28</v>
      </c>
      <c r="D24" s="2" t="s">
        <v>308</v>
      </c>
      <c r="E24" s="11"/>
      <c r="F24" s="3"/>
      <c r="G24" s="3"/>
      <c r="H24" s="4"/>
      <c r="I24" s="4"/>
    </row>
    <row r="25" spans="1:9" x14ac:dyDescent="0.45">
      <c r="A25" s="2">
        <f t="shared" si="0"/>
        <v>24</v>
      </c>
      <c r="B25" t="s">
        <v>26</v>
      </c>
      <c r="C25" t="s">
        <v>29</v>
      </c>
      <c r="D25" s="2" t="s">
        <v>308</v>
      </c>
      <c r="E25" s="11"/>
      <c r="F25" s="3"/>
      <c r="G25" s="3"/>
      <c r="H25" s="4"/>
      <c r="I25" s="4"/>
    </row>
    <row r="26" spans="1:9" x14ac:dyDescent="0.45">
      <c r="A26" s="2">
        <f t="shared" si="0"/>
        <v>25</v>
      </c>
      <c r="B26" t="s">
        <v>26</v>
      </c>
      <c r="C26" t="s">
        <v>30</v>
      </c>
      <c r="D26" s="2" t="s">
        <v>308</v>
      </c>
      <c r="E26" s="11"/>
      <c r="F26" s="3"/>
      <c r="G26" s="3"/>
      <c r="H26" s="4"/>
      <c r="I26" s="4"/>
    </row>
    <row r="27" spans="1:9" x14ac:dyDescent="0.45">
      <c r="A27" s="2">
        <f t="shared" si="0"/>
        <v>26</v>
      </c>
      <c r="B27" t="s">
        <v>26</v>
      </c>
      <c r="C27" t="s">
        <v>31</v>
      </c>
      <c r="D27" s="2" t="s">
        <v>308</v>
      </c>
      <c r="E27" s="11"/>
      <c r="F27" s="3"/>
      <c r="G27" s="3"/>
      <c r="H27" s="4"/>
      <c r="I27" s="4"/>
    </row>
    <row r="28" spans="1:9" x14ac:dyDescent="0.45">
      <c r="A28" s="2">
        <f t="shared" si="0"/>
        <v>27</v>
      </c>
      <c r="B28" t="s">
        <v>26</v>
      </c>
      <c r="C28" t="s">
        <v>32</v>
      </c>
      <c r="D28" s="2" t="s">
        <v>308</v>
      </c>
      <c r="E28" s="11"/>
      <c r="F28" s="3"/>
      <c r="G28" s="3"/>
      <c r="H28" s="4"/>
      <c r="I28" s="4"/>
    </row>
    <row r="29" spans="1:9" x14ac:dyDescent="0.45">
      <c r="A29" s="2">
        <f t="shared" si="0"/>
        <v>28</v>
      </c>
      <c r="B29" t="s">
        <v>26</v>
      </c>
      <c r="C29" t="s">
        <v>33</v>
      </c>
      <c r="D29" s="2" t="s">
        <v>308</v>
      </c>
      <c r="E29" s="11"/>
      <c r="F29" s="3"/>
      <c r="G29" s="3"/>
      <c r="H29" s="4"/>
      <c r="I29" s="4"/>
    </row>
    <row r="30" spans="1:9" x14ac:dyDescent="0.45">
      <c r="A30" s="2">
        <f t="shared" si="0"/>
        <v>29</v>
      </c>
      <c r="B30" t="s">
        <v>26</v>
      </c>
      <c r="C30" t="s">
        <v>34</v>
      </c>
      <c r="D30" s="2" t="s">
        <v>308</v>
      </c>
      <c r="E30" s="11"/>
      <c r="F30" s="3"/>
      <c r="G30" s="3"/>
      <c r="H30" s="4"/>
      <c r="I30" s="4"/>
    </row>
    <row r="31" spans="1:9" x14ac:dyDescent="0.45">
      <c r="A31" s="2">
        <f t="shared" si="0"/>
        <v>30</v>
      </c>
      <c r="B31" t="s">
        <v>26</v>
      </c>
      <c r="C31" t="s">
        <v>35</v>
      </c>
      <c r="D31" s="2" t="s">
        <v>308</v>
      </c>
      <c r="E31" s="11"/>
      <c r="F31" s="3"/>
      <c r="G31" s="3"/>
      <c r="H31" s="4"/>
      <c r="I31" s="4"/>
    </row>
    <row r="32" spans="1:9" x14ac:dyDescent="0.45">
      <c r="A32" s="2">
        <f t="shared" si="0"/>
        <v>31</v>
      </c>
      <c r="B32" t="s">
        <v>26</v>
      </c>
      <c r="C32" t="s">
        <v>36</v>
      </c>
      <c r="D32" s="2" t="s">
        <v>308</v>
      </c>
      <c r="E32" s="11"/>
      <c r="F32" s="3"/>
      <c r="G32" s="3"/>
      <c r="H32" s="4"/>
      <c r="I32" s="4"/>
    </row>
    <row r="33" spans="1:9" x14ac:dyDescent="0.45">
      <c r="A33" s="2">
        <f t="shared" si="0"/>
        <v>32</v>
      </c>
      <c r="B33" t="s">
        <v>26</v>
      </c>
      <c r="C33" t="s">
        <v>37</v>
      </c>
      <c r="D33" s="2" t="s">
        <v>308</v>
      </c>
      <c r="E33" s="11"/>
      <c r="F33" s="3"/>
      <c r="G33" s="3"/>
      <c r="H33" s="4"/>
      <c r="I33" s="4"/>
    </row>
    <row r="34" spans="1:9" ht="31.5" customHeight="1" thickBot="1" x14ac:dyDescent="0.5">
      <c r="A34" s="9">
        <f t="shared" si="0"/>
        <v>33</v>
      </c>
      <c r="B34" s="6" t="s">
        <v>26</v>
      </c>
      <c r="C34" s="6" t="s">
        <v>38</v>
      </c>
      <c r="D34" s="5" t="s">
        <v>308</v>
      </c>
      <c r="E34" s="12" t="s">
        <v>338</v>
      </c>
      <c r="F34" s="7"/>
      <c r="G34" s="7"/>
      <c r="H34" s="8"/>
      <c r="I34" s="8"/>
    </row>
    <row r="35" spans="1:9" x14ac:dyDescent="0.45">
      <c r="A35" s="2">
        <f t="shared" si="0"/>
        <v>34</v>
      </c>
      <c r="B35" t="s">
        <v>39</v>
      </c>
      <c r="C35" t="s">
        <v>40</v>
      </c>
      <c r="D35" s="2" t="s">
        <v>308</v>
      </c>
      <c r="E35" s="11"/>
      <c r="F35" s="14">
        <v>0</v>
      </c>
      <c r="G35" s="14">
        <v>0</v>
      </c>
      <c r="H35" s="4">
        <v>1.4457831324999999</v>
      </c>
      <c r="I35" s="4">
        <v>0.81325301205</v>
      </c>
    </row>
    <row r="36" spans="1:9" x14ac:dyDescent="0.45">
      <c r="A36" s="2">
        <f t="shared" si="0"/>
        <v>35</v>
      </c>
      <c r="B36" t="s">
        <v>39</v>
      </c>
      <c r="C36" t="s">
        <v>41</v>
      </c>
      <c r="D36" s="2" t="s">
        <v>308</v>
      </c>
      <c r="E36" s="11"/>
      <c r="F36" s="14">
        <v>0</v>
      </c>
      <c r="G36" s="14">
        <v>0</v>
      </c>
      <c r="H36" s="4">
        <v>154.37862490000001</v>
      </c>
      <c r="I36" s="4">
        <v>86.837976550999997</v>
      </c>
    </row>
    <row r="37" spans="1:9" x14ac:dyDescent="0.45">
      <c r="A37" s="2">
        <f t="shared" si="0"/>
        <v>36</v>
      </c>
      <c r="B37" t="s">
        <v>39</v>
      </c>
      <c r="C37" t="s">
        <v>42</v>
      </c>
      <c r="D37" s="2" t="s">
        <v>308</v>
      </c>
      <c r="E37" s="11"/>
      <c r="F37" s="14"/>
      <c r="G37" s="14"/>
      <c r="H37" s="4"/>
      <c r="I37" s="4"/>
    </row>
    <row r="38" spans="1:9" ht="14.65" thickBot="1" x14ac:dyDescent="0.5">
      <c r="A38" s="9">
        <f t="shared" si="0"/>
        <v>37</v>
      </c>
      <c r="B38" s="6" t="s">
        <v>39</v>
      </c>
      <c r="C38" s="6" t="s">
        <v>43</v>
      </c>
      <c r="D38" s="5" t="s">
        <v>308</v>
      </c>
      <c r="E38" s="12"/>
      <c r="F38" s="15"/>
      <c r="G38" s="15"/>
      <c r="H38" s="8"/>
      <c r="I38" s="8"/>
    </row>
    <row r="39" spans="1:9" ht="19.5" customHeight="1" x14ac:dyDescent="0.45">
      <c r="A39" s="2">
        <f t="shared" si="0"/>
        <v>38</v>
      </c>
      <c r="B39" t="s">
        <v>44</v>
      </c>
      <c r="C39" t="s">
        <v>45</v>
      </c>
      <c r="D39" s="9" t="s">
        <v>308</v>
      </c>
      <c r="E39" s="13"/>
      <c r="F39" s="16">
        <v>1</v>
      </c>
      <c r="G39" s="16">
        <v>0</v>
      </c>
      <c r="H39" s="10">
        <v>6</v>
      </c>
      <c r="I39" s="10">
        <v>3.375</v>
      </c>
    </row>
    <row r="40" spans="1:9" x14ac:dyDescent="0.45">
      <c r="A40" s="2">
        <f t="shared" si="0"/>
        <v>39</v>
      </c>
      <c r="B40" t="s">
        <v>44</v>
      </c>
      <c r="C40" t="s">
        <v>46</v>
      </c>
      <c r="D40" s="17" t="s">
        <v>308</v>
      </c>
      <c r="F40" s="3"/>
      <c r="G40" s="3"/>
      <c r="H40" s="4"/>
      <c r="I40" s="4"/>
    </row>
    <row r="41" spans="1:9" x14ac:dyDescent="0.45">
      <c r="A41" s="22">
        <f t="shared" si="0"/>
        <v>40</v>
      </c>
      <c r="B41" t="s">
        <v>44</v>
      </c>
      <c r="C41" t="s">
        <v>47</v>
      </c>
      <c r="D41" s="2" t="s">
        <v>308</v>
      </c>
      <c r="F41" s="14">
        <v>0.85882670635232194</v>
      </c>
      <c r="G41" s="14">
        <v>-3.1086006813058301E-2</v>
      </c>
      <c r="H41" s="4">
        <v>5.5981979492000002</v>
      </c>
      <c r="I41" s="4">
        <v>5.5981979492000002</v>
      </c>
    </row>
    <row r="42" spans="1:9" x14ac:dyDescent="0.45">
      <c r="A42" s="2">
        <f t="shared" si="0"/>
        <v>41</v>
      </c>
      <c r="B42" t="s">
        <v>44</v>
      </c>
      <c r="C42" t="s">
        <v>48</v>
      </c>
      <c r="D42" s="2" t="s">
        <v>308</v>
      </c>
      <c r="E42" s="11"/>
      <c r="F42" s="14">
        <v>-1.5</v>
      </c>
      <c r="G42" s="14">
        <v>0</v>
      </c>
      <c r="H42" s="4">
        <v>3</v>
      </c>
      <c r="I42" s="4">
        <v>1.6875</v>
      </c>
    </row>
    <row r="43" spans="1:9" ht="14.65" thickBot="1" x14ac:dyDescent="0.5">
      <c r="A43" s="2">
        <f t="shared" si="0"/>
        <v>42</v>
      </c>
      <c r="B43" s="6" t="s">
        <v>44</v>
      </c>
      <c r="C43" s="6" t="s">
        <v>49</v>
      </c>
      <c r="D43" s="5" t="s">
        <v>308</v>
      </c>
      <c r="E43" s="6"/>
      <c r="F43" s="7"/>
      <c r="G43" s="7"/>
      <c r="H43" s="8"/>
      <c r="I43" s="8"/>
    </row>
    <row r="44" spans="1:9" x14ac:dyDescent="0.45">
      <c r="A44" s="2">
        <f t="shared" si="0"/>
        <v>43</v>
      </c>
      <c r="B44" s="47" t="s">
        <v>371</v>
      </c>
      <c r="C44" s="47" t="s">
        <v>376</v>
      </c>
      <c r="D44" s="9" t="s">
        <v>308</v>
      </c>
      <c r="E44" s="35"/>
      <c r="F44" s="46" t="s">
        <v>377</v>
      </c>
      <c r="G44" s="46">
        <v>-8.9062499999999906E-3</v>
      </c>
      <c r="H44" s="10">
        <v>1.2</v>
      </c>
      <c r="I44" s="10">
        <v>0.67500000000000004</v>
      </c>
    </row>
    <row r="45" spans="1:9" ht="14.65" thickBot="1" x14ac:dyDescent="0.5">
      <c r="A45" s="2">
        <f t="shared" si="0"/>
        <v>44</v>
      </c>
      <c r="B45" s="48" t="s">
        <v>371</v>
      </c>
      <c r="C45" s="48" t="s">
        <v>372</v>
      </c>
      <c r="D45" s="5" t="s">
        <v>308</v>
      </c>
      <c r="E45" s="6"/>
      <c r="F45" s="7"/>
      <c r="G45" s="7"/>
      <c r="H45" s="8"/>
      <c r="I45" s="8"/>
    </row>
    <row r="46" spans="1:9" x14ac:dyDescent="0.45">
      <c r="A46" s="2">
        <f t="shared" si="0"/>
        <v>45</v>
      </c>
      <c r="B46" t="s">
        <v>50</v>
      </c>
      <c r="C46" t="s">
        <v>311</v>
      </c>
      <c r="D46" s="2" t="s">
        <v>308</v>
      </c>
      <c r="F46" s="3"/>
      <c r="G46" s="3"/>
      <c r="H46" s="4"/>
      <c r="I46" s="4"/>
    </row>
    <row r="47" spans="1:9" x14ac:dyDescent="0.45">
      <c r="A47" s="2">
        <f t="shared" si="0"/>
        <v>46</v>
      </c>
      <c r="B47" t="s">
        <v>50</v>
      </c>
      <c r="C47" t="s">
        <v>51</v>
      </c>
      <c r="D47" s="2" t="s">
        <v>308</v>
      </c>
      <c r="F47" s="14"/>
      <c r="G47" s="14"/>
      <c r="H47" s="23"/>
      <c r="I47" s="23"/>
    </row>
    <row r="48" spans="1:9" x14ac:dyDescent="0.45">
      <c r="A48" s="2">
        <f t="shared" si="0"/>
        <v>47</v>
      </c>
      <c r="B48" t="s">
        <v>50</v>
      </c>
      <c r="C48" t="s">
        <v>52</v>
      </c>
      <c r="D48" s="2" t="s">
        <v>308</v>
      </c>
      <c r="F48" s="14"/>
      <c r="G48" s="14"/>
      <c r="H48" s="23"/>
      <c r="I48" s="23"/>
    </row>
    <row r="49" spans="1:9" x14ac:dyDescent="0.45">
      <c r="A49" s="2">
        <f t="shared" si="0"/>
        <v>48</v>
      </c>
      <c r="B49" t="s">
        <v>50</v>
      </c>
      <c r="C49" t="s">
        <v>53</v>
      </c>
      <c r="D49" s="2" t="s">
        <v>308</v>
      </c>
      <c r="F49" s="14">
        <v>-1.11668989158623</v>
      </c>
      <c r="G49" s="14">
        <v>0.176419667590028</v>
      </c>
      <c r="H49" s="23">
        <v>37.968605725000003</v>
      </c>
      <c r="I49" s="23">
        <v>21.35734072</v>
      </c>
    </row>
    <row r="50" spans="1:9" x14ac:dyDescent="0.45">
      <c r="A50" s="2">
        <f t="shared" si="0"/>
        <v>49</v>
      </c>
      <c r="B50" t="s">
        <v>50</v>
      </c>
      <c r="C50" t="s">
        <v>54</v>
      </c>
      <c r="D50" s="2" t="s">
        <v>308</v>
      </c>
      <c r="F50" s="14"/>
      <c r="G50" s="14"/>
      <c r="H50" s="23"/>
      <c r="I50" s="23"/>
    </row>
    <row r="51" spans="1:9" x14ac:dyDescent="0.45">
      <c r="A51" s="2">
        <f t="shared" si="0"/>
        <v>50</v>
      </c>
      <c r="B51" t="s">
        <v>50</v>
      </c>
      <c r="C51" t="s">
        <v>312</v>
      </c>
      <c r="D51" s="2" t="s">
        <v>308</v>
      </c>
      <c r="F51" s="14"/>
      <c r="G51" s="14"/>
      <c r="H51" s="23"/>
      <c r="I51" s="23"/>
    </row>
    <row r="52" spans="1:9" x14ac:dyDescent="0.45">
      <c r="A52" s="2">
        <f t="shared" si="0"/>
        <v>51</v>
      </c>
      <c r="B52" t="s">
        <v>50</v>
      </c>
      <c r="C52" t="s">
        <v>55</v>
      </c>
      <c r="D52" s="2" t="s">
        <v>308</v>
      </c>
      <c r="F52" s="14"/>
      <c r="G52" s="14"/>
      <c r="H52" s="23"/>
      <c r="I52" s="23"/>
    </row>
    <row r="53" spans="1:9" ht="14.65" thickBot="1" x14ac:dyDescent="0.5">
      <c r="A53" s="9">
        <f t="shared" si="0"/>
        <v>52</v>
      </c>
      <c r="B53" s="6" t="s">
        <v>50</v>
      </c>
      <c r="C53" s="6" t="s">
        <v>313</v>
      </c>
      <c r="D53" s="5" t="s">
        <v>308</v>
      </c>
      <c r="E53" s="6"/>
      <c r="F53" s="15"/>
      <c r="G53" s="15"/>
      <c r="H53" s="24"/>
      <c r="I53" s="24"/>
    </row>
    <row r="54" spans="1:9" x14ac:dyDescent="0.45">
      <c r="A54" s="2">
        <f t="shared" si="0"/>
        <v>53</v>
      </c>
      <c r="B54" t="s">
        <v>56</v>
      </c>
      <c r="C54" t="s">
        <v>57</v>
      </c>
      <c r="D54" s="2" t="s">
        <v>308</v>
      </c>
      <c r="F54" s="3"/>
      <c r="G54" s="3"/>
      <c r="H54" s="4"/>
      <c r="I54" s="4"/>
    </row>
    <row r="55" spans="1:9" x14ac:dyDescent="0.45">
      <c r="A55" s="2">
        <f t="shared" si="0"/>
        <v>54</v>
      </c>
      <c r="B55" t="s">
        <v>56</v>
      </c>
      <c r="C55" t="s">
        <v>58</v>
      </c>
      <c r="D55" s="2" t="s">
        <v>308</v>
      </c>
      <c r="F55" s="3"/>
      <c r="G55" s="3"/>
      <c r="H55" s="4"/>
      <c r="I55" s="4"/>
    </row>
    <row r="56" spans="1:9" x14ac:dyDescent="0.45">
      <c r="A56" s="2">
        <f t="shared" si="0"/>
        <v>55</v>
      </c>
      <c r="B56" t="s">
        <v>56</v>
      </c>
      <c r="C56" t="s">
        <v>59</v>
      </c>
      <c r="D56" s="2" t="s">
        <v>308</v>
      </c>
      <c r="F56" s="3"/>
      <c r="G56" s="3"/>
      <c r="H56" s="4"/>
      <c r="I56" s="4"/>
    </row>
    <row r="57" spans="1:9" ht="14.65" thickBot="1" x14ac:dyDescent="0.5">
      <c r="A57" s="2">
        <f t="shared" si="0"/>
        <v>56</v>
      </c>
      <c r="B57" s="6" t="s">
        <v>56</v>
      </c>
      <c r="C57" s="6" t="s">
        <v>60</v>
      </c>
      <c r="D57" s="5" t="s">
        <v>308</v>
      </c>
      <c r="E57" s="6"/>
      <c r="F57" s="7"/>
      <c r="G57" s="7"/>
      <c r="H57" s="8"/>
      <c r="I57" s="8"/>
    </row>
    <row r="58" spans="1:9" x14ac:dyDescent="0.45">
      <c r="A58" s="2">
        <f t="shared" si="0"/>
        <v>57</v>
      </c>
      <c r="B58" s="47" t="s">
        <v>373</v>
      </c>
      <c r="C58" s="47" t="s">
        <v>374</v>
      </c>
      <c r="D58" s="9" t="s">
        <v>308</v>
      </c>
      <c r="E58" s="35"/>
      <c r="F58" s="46">
        <v>0.64405093999652596</v>
      </c>
      <c r="G58" s="46">
        <v>-1.11149704758602E-2</v>
      </c>
      <c r="H58" s="10">
        <v>18.594110911000001</v>
      </c>
      <c r="I58" s="10">
        <v>10.459187387</v>
      </c>
    </row>
    <row r="59" spans="1:9" ht="14.65" thickBot="1" x14ac:dyDescent="0.5">
      <c r="A59" s="2">
        <f t="shared" si="0"/>
        <v>58</v>
      </c>
      <c r="B59" s="6" t="s">
        <v>373</v>
      </c>
      <c r="C59" s="6" t="s">
        <v>375</v>
      </c>
      <c r="D59" s="5" t="s">
        <v>308</v>
      </c>
      <c r="E59" s="6"/>
      <c r="F59" s="7">
        <v>-4.7690299296942804</v>
      </c>
      <c r="G59" s="7">
        <v>0.232054112688205</v>
      </c>
      <c r="H59" s="8">
        <v>14.77373296</v>
      </c>
      <c r="I59" s="8">
        <v>8.3102247900999995</v>
      </c>
    </row>
    <row r="60" spans="1:9" x14ac:dyDescent="0.45">
      <c r="A60" s="2">
        <f t="shared" si="0"/>
        <v>59</v>
      </c>
      <c r="B60" t="s">
        <v>61</v>
      </c>
      <c r="C60" t="s">
        <v>62</v>
      </c>
      <c r="D60" s="2" t="s">
        <v>308</v>
      </c>
      <c r="F60" s="14">
        <v>0</v>
      </c>
      <c r="G60" s="14">
        <v>0</v>
      </c>
      <c r="H60" s="4">
        <v>6</v>
      </c>
      <c r="I60" s="4">
        <v>3.375</v>
      </c>
    </row>
    <row r="61" spans="1:9" x14ac:dyDescent="0.45">
      <c r="A61" s="2">
        <f t="shared" si="0"/>
        <v>60</v>
      </c>
      <c r="B61" t="s">
        <v>61</v>
      </c>
      <c r="C61" t="s">
        <v>63</v>
      </c>
      <c r="D61" s="2" t="s">
        <v>308</v>
      </c>
      <c r="E61" s="11"/>
      <c r="F61" s="14">
        <v>-0.5</v>
      </c>
      <c r="G61" s="14">
        <v>0</v>
      </c>
      <c r="H61" s="4">
        <v>3</v>
      </c>
      <c r="I61" s="4">
        <v>1.6875</v>
      </c>
    </row>
    <row r="62" spans="1:9" x14ac:dyDescent="0.45">
      <c r="A62" s="2">
        <f t="shared" si="0"/>
        <v>61</v>
      </c>
      <c r="B62" t="s">
        <v>61</v>
      </c>
      <c r="C62" t="s">
        <v>64</v>
      </c>
      <c r="D62" s="2" t="s">
        <v>308</v>
      </c>
      <c r="E62" s="11"/>
      <c r="F62" s="14">
        <v>-0.6</v>
      </c>
      <c r="G62" s="14">
        <v>0</v>
      </c>
      <c r="H62" s="4">
        <v>4.1636781889999996</v>
      </c>
      <c r="I62" s="4">
        <v>2.3420689813000002</v>
      </c>
    </row>
    <row r="63" spans="1:9" x14ac:dyDescent="0.45">
      <c r="A63" s="2">
        <f t="shared" si="0"/>
        <v>62</v>
      </c>
      <c r="B63" t="s">
        <v>61</v>
      </c>
      <c r="C63" t="s">
        <v>65</v>
      </c>
      <c r="D63" s="2" t="s">
        <v>308</v>
      </c>
      <c r="E63" s="11"/>
      <c r="F63" s="14">
        <v>-0.4</v>
      </c>
      <c r="G63" s="14">
        <v>-0.3</v>
      </c>
      <c r="H63" s="4">
        <v>3.2776985729999999</v>
      </c>
      <c r="I63" s="4">
        <v>1.8436548223</v>
      </c>
    </row>
    <row r="64" spans="1:9" x14ac:dyDescent="0.45">
      <c r="A64" s="2">
        <f t="shared" si="0"/>
        <v>63</v>
      </c>
      <c r="B64" t="s">
        <v>61</v>
      </c>
      <c r="C64" t="s">
        <v>66</v>
      </c>
      <c r="D64" s="2" t="s">
        <v>308</v>
      </c>
      <c r="E64" s="11"/>
      <c r="F64" s="14">
        <v>-0.8</v>
      </c>
      <c r="G64" s="14">
        <v>-0.5</v>
      </c>
      <c r="H64" s="4">
        <v>4.1439368852999996</v>
      </c>
      <c r="I64" s="4">
        <v>2.3309644980000002</v>
      </c>
    </row>
    <row r="65" spans="1:10" x14ac:dyDescent="0.45">
      <c r="A65" s="2">
        <f t="shared" si="0"/>
        <v>64</v>
      </c>
      <c r="B65" t="s">
        <v>61</v>
      </c>
      <c r="C65" t="s">
        <v>67</v>
      </c>
      <c r="D65" s="2" t="s">
        <v>308</v>
      </c>
      <c r="E65" s="11"/>
      <c r="F65" s="14">
        <v>-0.5</v>
      </c>
      <c r="G65" s="14">
        <v>0</v>
      </c>
      <c r="H65" s="4">
        <v>2.6060913706000002</v>
      </c>
      <c r="I65" s="4">
        <v>1.4659263959</v>
      </c>
    </row>
    <row r="66" spans="1:10" ht="31.5" customHeight="1" x14ac:dyDescent="0.45">
      <c r="A66" s="2">
        <f t="shared" si="0"/>
        <v>65</v>
      </c>
      <c r="B66" t="s">
        <v>61</v>
      </c>
      <c r="C66" t="s">
        <v>68</v>
      </c>
      <c r="D66" s="2" t="s">
        <v>308</v>
      </c>
      <c r="E66" s="11" t="s">
        <v>339</v>
      </c>
      <c r="F66" s="14"/>
      <c r="G66" s="14"/>
      <c r="H66" s="4"/>
      <c r="I66" s="4"/>
    </row>
    <row r="67" spans="1:10" ht="14.65" thickBot="1" x14ac:dyDescent="0.5">
      <c r="A67" s="9">
        <f t="shared" si="0"/>
        <v>66</v>
      </c>
      <c r="B67" s="6" t="s">
        <v>61</v>
      </c>
      <c r="C67" s="6" t="s">
        <v>69</v>
      </c>
      <c r="D67" s="5" t="s">
        <v>308</v>
      </c>
      <c r="E67" s="12"/>
      <c r="F67" s="15">
        <v>0</v>
      </c>
      <c r="G67" s="15">
        <v>0</v>
      </c>
      <c r="H67" s="8">
        <v>0.51202902653000004</v>
      </c>
      <c r="I67" s="8">
        <v>0.28801632742</v>
      </c>
      <c r="J67" s="6"/>
    </row>
    <row r="68" spans="1:10" x14ac:dyDescent="0.45">
      <c r="A68" s="2">
        <f t="shared" si="0"/>
        <v>67</v>
      </c>
      <c r="B68" t="s">
        <v>70</v>
      </c>
      <c r="C68" t="s">
        <v>71</v>
      </c>
      <c r="D68" s="2" t="s">
        <v>308</v>
      </c>
      <c r="E68" s="11"/>
      <c r="F68" s="14">
        <v>-0.5</v>
      </c>
      <c r="G68" s="14">
        <v>0</v>
      </c>
      <c r="H68" s="4">
        <v>2.6060913706000002</v>
      </c>
      <c r="I68" s="4">
        <v>1.4659263959</v>
      </c>
    </row>
    <row r="69" spans="1:10" x14ac:dyDescent="0.45">
      <c r="A69" s="2">
        <f t="shared" si="0"/>
        <v>68</v>
      </c>
      <c r="B69" t="s">
        <v>70</v>
      </c>
      <c r="C69" t="s">
        <v>72</v>
      </c>
      <c r="D69" s="2" t="s">
        <v>308</v>
      </c>
      <c r="E69" s="11"/>
      <c r="F69" s="2"/>
      <c r="G69" s="2"/>
    </row>
    <row r="70" spans="1:10" ht="14.65" thickBot="1" x14ac:dyDescent="0.5">
      <c r="A70" s="9">
        <f t="shared" si="0"/>
        <v>69</v>
      </c>
      <c r="B70" s="6" t="s">
        <v>70</v>
      </c>
      <c r="C70" s="6" t="s">
        <v>73</v>
      </c>
      <c r="D70" s="5" t="s">
        <v>308</v>
      </c>
      <c r="E70" s="12"/>
      <c r="F70" s="15">
        <v>-0.5</v>
      </c>
      <c r="G70" s="15">
        <v>0</v>
      </c>
      <c r="H70" s="8">
        <v>4.2624553486999996</v>
      </c>
      <c r="I70" s="8">
        <v>2.397631133</v>
      </c>
      <c r="J70" s="6"/>
    </row>
    <row r="71" spans="1:10" x14ac:dyDescent="0.45">
      <c r="A71" s="2">
        <f t="shared" si="0"/>
        <v>70</v>
      </c>
      <c r="B71" t="s">
        <v>74</v>
      </c>
      <c r="C71" t="s">
        <v>75</v>
      </c>
      <c r="D71" s="2" t="s">
        <v>308</v>
      </c>
      <c r="E71" s="11"/>
      <c r="F71" s="14">
        <v>0.5</v>
      </c>
      <c r="G71" s="14">
        <v>0</v>
      </c>
      <c r="H71" s="4">
        <v>3</v>
      </c>
      <c r="I71" s="4">
        <v>1.6875</v>
      </c>
    </row>
    <row r="72" spans="1:10" x14ac:dyDescent="0.45">
      <c r="A72" s="22">
        <f t="shared" ref="A72:A135" si="1">A71+1</f>
        <v>71</v>
      </c>
      <c r="B72" t="s">
        <v>74</v>
      </c>
      <c r="C72" t="s">
        <v>76</v>
      </c>
      <c r="D72" s="2" t="s">
        <v>308</v>
      </c>
      <c r="F72" s="3">
        <v>-1</v>
      </c>
      <c r="G72" s="3">
        <v>0</v>
      </c>
      <c r="H72" s="4">
        <v>15</v>
      </c>
      <c r="I72" s="4">
        <v>8.4375</v>
      </c>
    </row>
    <row r="73" spans="1:10" x14ac:dyDescent="0.45">
      <c r="A73" s="2">
        <f t="shared" si="1"/>
        <v>72</v>
      </c>
      <c r="B73" t="s">
        <v>74</v>
      </c>
      <c r="C73" t="s">
        <v>77</v>
      </c>
      <c r="D73" s="2" t="s">
        <v>308</v>
      </c>
      <c r="E73" s="11"/>
      <c r="F73" s="14"/>
      <c r="G73" s="14"/>
      <c r="H73" s="4"/>
      <c r="I73" s="4"/>
    </row>
    <row r="74" spans="1:10" x14ac:dyDescent="0.45">
      <c r="A74" s="2">
        <f t="shared" si="1"/>
        <v>73</v>
      </c>
      <c r="B74" t="s">
        <v>74</v>
      </c>
      <c r="C74" t="s">
        <v>78</v>
      </c>
      <c r="D74" s="2" t="s">
        <v>308</v>
      </c>
      <c r="E74" s="11"/>
      <c r="F74" s="14">
        <v>-1</v>
      </c>
      <c r="G74" s="14">
        <v>0</v>
      </c>
      <c r="H74" s="4">
        <v>20</v>
      </c>
      <c r="I74" s="4">
        <v>11.25</v>
      </c>
    </row>
    <row r="75" spans="1:10" x14ac:dyDescent="0.45">
      <c r="A75" s="2">
        <f t="shared" si="1"/>
        <v>74</v>
      </c>
      <c r="B75" t="s">
        <v>74</v>
      </c>
      <c r="C75" t="s">
        <v>79</v>
      </c>
      <c r="D75" s="2" t="s">
        <v>308</v>
      </c>
      <c r="E75" s="11"/>
      <c r="F75" s="14"/>
      <c r="G75" s="14"/>
      <c r="H75" s="4"/>
      <c r="I75" s="4"/>
    </row>
    <row r="76" spans="1:10" x14ac:dyDescent="0.45">
      <c r="A76" s="2">
        <f t="shared" si="1"/>
        <v>75</v>
      </c>
      <c r="B76" t="s">
        <v>74</v>
      </c>
      <c r="C76" t="s">
        <v>80</v>
      </c>
      <c r="D76" s="2" t="s">
        <v>308</v>
      </c>
      <c r="E76" s="11"/>
      <c r="F76" s="14">
        <v>-2.5</v>
      </c>
      <c r="G76" s="14">
        <v>0</v>
      </c>
      <c r="H76" s="4">
        <v>12</v>
      </c>
      <c r="I76" s="4">
        <v>6.75</v>
      </c>
    </row>
    <row r="77" spans="1:10" x14ac:dyDescent="0.45">
      <c r="A77" s="2">
        <f t="shared" si="1"/>
        <v>76</v>
      </c>
      <c r="B77" t="s">
        <v>74</v>
      </c>
      <c r="C77" t="s">
        <v>81</v>
      </c>
      <c r="D77" s="2" t="s">
        <v>308</v>
      </c>
      <c r="E77" s="11"/>
      <c r="F77" s="14">
        <v>0</v>
      </c>
      <c r="G77" s="14">
        <v>0</v>
      </c>
      <c r="H77" s="4">
        <v>37.377883029000003</v>
      </c>
      <c r="I77" s="4">
        <v>21.025059204000002</v>
      </c>
    </row>
    <row r="78" spans="1:10" x14ac:dyDescent="0.45">
      <c r="A78" s="2">
        <f t="shared" si="1"/>
        <v>77</v>
      </c>
      <c r="B78" t="s">
        <v>74</v>
      </c>
      <c r="C78" t="s">
        <v>82</v>
      </c>
      <c r="D78" s="2" t="s">
        <v>308</v>
      </c>
      <c r="E78" s="11"/>
      <c r="F78" s="14">
        <v>0.875</v>
      </c>
      <c r="G78" s="14">
        <v>0</v>
      </c>
      <c r="H78" s="4">
        <v>0.375</v>
      </c>
      <c r="I78" s="4">
        <v>0.2109375</v>
      </c>
    </row>
    <row r="79" spans="1:10" x14ac:dyDescent="0.45">
      <c r="A79" s="2">
        <f t="shared" si="1"/>
        <v>78</v>
      </c>
      <c r="B79" t="s">
        <v>74</v>
      </c>
      <c r="C79" t="s">
        <v>83</v>
      </c>
      <c r="D79" s="2" t="s">
        <v>308</v>
      </c>
      <c r="E79" s="11"/>
      <c r="F79" s="14">
        <v>0.24</v>
      </c>
      <c r="G79" s="14">
        <v>-0.3</v>
      </c>
      <c r="H79" s="4">
        <v>1.9350213897999999</v>
      </c>
      <c r="I79" s="4">
        <v>1.0884495317</v>
      </c>
    </row>
    <row r="80" spans="1:10" x14ac:dyDescent="0.45">
      <c r="A80" s="2">
        <f t="shared" si="1"/>
        <v>79</v>
      </c>
      <c r="B80" t="s">
        <v>74</v>
      </c>
      <c r="C80" t="s">
        <v>84</v>
      </c>
      <c r="D80" s="2" t="s">
        <v>308</v>
      </c>
      <c r="E80" s="11"/>
      <c r="F80" s="14">
        <v>-1.75</v>
      </c>
      <c r="G80" s="14">
        <v>0</v>
      </c>
      <c r="H80" s="4">
        <v>3</v>
      </c>
      <c r="I80" s="4">
        <v>1.6875</v>
      </c>
    </row>
    <row r="81" spans="1:10" x14ac:dyDescent="0.45">
      <c r="A81" s="2">
        <f t="shared" si="1"/>
        <v>80</v>
      </c>
      <c r="B81" t="s">
        <v>74</v>
      </c>
      <c r="C81" t="s">
        <v>85</v>
      </c>
      <c r="D81" s="2" t="s">
        <v>308</v>
      </c>
      <c r="E81" s="11"/>
      <c r="F81" s="14">
        <v>0.75</v>
      </c>
      <c r="G81" s="14">
        <v>0</v>
      </c>
      <c r="H81" s="4">
        <v>2.6095097915999999</v>
      </c>
      <c r="I81" s="4">
        <v>1.4678492578</v>
      </c>
    </row>
    <row r="82" spans="1:10" ht="14.65" thickBot="1" x14ac:dyDescent="0.5">
      <c r="A82" s="9">
        <f t="shared" si="1"/>
        <v>81</v>
      </c>
      <c r="B82" s="6" t="s">
        <v>74</v>
      </c>
      <c r="C82" s="6" t="s">
        <v>86</v>
      </c>
      <c r="D82" s="5" t="s">
        <v>308</v>
      </c>
      <c r="E82" s="12"/>
      <c r="F82" s="15">
        <v>0.5</v>
      </c>
      <c r="G82" s="15">
        <v>0</v>
      </c>
      <c r="H82" s="8">
        <v>1.5</v>
      </c>
      <c r="I82" s="8">
        <v>0.84375</v>
      </c>
      <c r="J82" s="6"/>
    </row>
    <row r="83" spans="1:10" x14ac:dyDescent="0.45">
      <c r="A83" s="2">
        <f t="shared" si="1"/>
        <v>82</v>
      </c>
      <c r="B83" t="s">
        <v>87</v>
      </c>
      <c r="C83" t="s">
        <v>88</v>
      </c>
      <c r="D83" s="2" t="s">
        <v>308</v>
      </c>
      <c r="E83" s="11"/>
      <c r="F83" s="14"/>
      <c r="G83" s="14"/>
      <c r="H83" s="4"/>
      <c r="I83" s="4"/>
    </row>
    <row r="84" spans="1:10" x14ac:dyDescent="0.45">
      <c r="A84" s="2">
        <f t="shared" si="1"/>
        <v>83</v>
      </c>
      <c r="B84" t="s">
        <v>87</v>
      </c>
      <c r="C84" t="s">
        <v>89</v>
      </c>
      <c r="D84" s="2" t="s">
        <v>308</v>
      </c>
      <c r="E84" s="11"/>
      <c r="F84" s="14"/>
      <c r="G84" s="14"/>
      <c r="H84" s="4"/>
      <c r="I84" s="4"/>
    </row>
    <row r="85" spans="1:10" x14ac:dyDescent="0.45">
      <c r="A85" s="2">
        <f t="shared" si="1"/>
        <v>84</v>
      </c>
      <c r="B85" t="s">
        <v>87</v>
      </c>
      <c r="C85" t="s">
        <v>90</v>
      </c>
      <c r="D85" s="2" t="s">
        <v>308</v>
      </c>
      <c r="E85" s="11"/>
      <c r="F85" s="14">
        <v>0</v>
      </c>
      <c r="G85" s="14">
        <v>0</v>
      </c>
      <c r="H85" s="4">
        <v>6.7677102075000004</v>
      </c>
      <c r="I85" s="4">
        <v>3.8068369917</v>
      </c>
    </row>
    <row r="86" spans="1:10" x14ac:dyDescent="0.45">
      <c r="A86" s="2">
        <f t="shared" si="1"/>
        <v>85</v>
      </c>
      <c r="B86" t="s">
        <v>87</v>
      </c>
      <c r="C86" t="s">
        <v>91</v>
      </c>
      <c r="D86" s="2" t="s">
        <v>308</v>
      </c>
      <c r="E86" s="11"/>
      <c r="F86" s="14">
        <v>0</v>
      </c>
      <c r="G86" s="14">
        <v>0</v>
      </c>
      <c r="H86" s="4">
        <v>442.66476249999999</v>
      </c>
      <c r="I86" s="4">
        <v>248.99892890999999</v>
      </c>
    </row>
    <row r="87" spans="1:10" ht="31.5" customHeight="1" x14ac:dyDescent="0.45">
      <c r="A87" s="2">
        <f t="shared" si="1"/>
        <v>86</v>
      </c>
      <c r="B87" t="s">
        <v>87</v>
      </c>
      <c r="C87" t="s">
        <v>92</v>
      </c>
      <c r="D87" s="2" t="s">
        <v>308</v>
      </c>
      <c r="E87" s="11" t="s">
        <v>340</v>
      </c>
      <c r="F87" s="14"/>
      <c r="G87" s="14"/>
      <c r="H87" s="4"/>
      <c r="I87" s="4"/>
    </row>
    <row r="88" spans="1:10" x14ac:dyDescent="0.45">
      <c r="A88" s="2">
        <f t="shared" si="1"/>
        <v>87</v>
      </c>
      <c r="B88" t="s">
        <v>87</v>
      </c>
      <c r="C88" t="s">
        <v>93</v>
      </c>
      <c r="D88" s="2" t="s">
        <v>308</v>
      </c>
      <c r="E88" s="11"/>
      <c r="F88" s="14">
        <v>-0.75</v>
      </c>
      <c r="G88" s="14">
        <v>0</v>
      </c>
      <c r="H88" s="4">
        <v>3.9272543837999998</v>
      </c>
      <c r="I88" s="4">
        <v>2.2090805910000002</v>
      </c>
    </row>
    <row r="89" spans="1:10" x14ac:dyDescent="0.45">
      <c r="A89" s="2">
        <f t="shared" si="1"/>
        <v>88</v>
      </c>
      <c r="B89" t="s">
        <v>87</v>
      </c>
      <c r="C89" t="s">
        <v>94</v>
      </c>
      <c r="D89" s="2" t="s">
        <v>308</v>
      </c>
      <c r="E89" s="11"/>
      <c r="F89" s="14"/>
      <c r="G89" s="14"/>
      <c r="H89" s="4"/>
      <c r="I89" s="4"/>
    </row>
    <row r="90" spans="1:10" ht="14.65" thickBot="1" x14ac:dyDescent="0.5">
      <c r="A90" s="9">
        <f t="shared" si="1"/>
        <v>89</v>
      </c>
      <c r="B90" s="6" t="s">
        <v>87</v>
      </c>
      <c r="C90" s="6" t="s">
        <v>95</v>
      </c>
      <c r="D90" s="18" t="s">
        <v>308</v>
      </c>
      <c r="E90" s="19"/>
      <c r="F90" s="20"/>
      <c r="G90" s="20"/>
      <c r="H90" s="21"/>
      <c r="I90" s="21"/>
    </row>
    <row r="91" spans="1:10" x14ac:dyDescent="0.45">
      <c r="A91" s="2">
        <f t="shared" si="1"/>
        <v>90</v>
      </c>
      <c r="B91" t="s">
        <v>96</v>
      </c>
      <c r="C91" t="s">
        <v>97</v>
      </c>
      <c r="D91" s="2" t="s">
        <v>308</v>
      </c>
      <c r="E91" s="11"/>
      <c r="F91" s="14">
        <v>1</v>
      </c>
      <c r="G91" s="14">
        <v>0</v>
      </c>
      <c r="H91" s="4">
        <v>6.6504798242999996</v>
      </c>
      <c r="I91" s="4">
        <v>3.7408990110000002</v>
      </c>
    </row>
    <row r="92" spans="1:10" x14ac:dyDescent="0.45">
      <c r="A92" s="2">
        <f t="shared" si="1"/>
        <v>91</v>
      </c>
      <c r="B92" t="s">
        <v>96</v>
      </c>
      <c r="C92" t="s">
        <v>98</v>
      </c>
      <c r="D92" s="2" t="s">
        <v>308</v>
      </c>
      <c r="E92" s="11"/>
      <c r="F92" s="14">
        <v>-0.5</v>
      </c>
      <c r="G92" s="14">
        <v>0</v>
      </c>
      <c r="H92" s="4">
        <v>3.7942978950000001</v>
      </c>
      <c r="I92" s="4">
        <v>2.1342925659</v>
      </c>
    </row>
    <row r="93" spans="1:10" x14ac:dyDescent="0.45">
      <c r="A93" s="2">
        <f t="shared" si="1"/>
        <v>92</v>
      </c>
      <c r="B93" t="s">
        <v>96</v>
      </c>
      <c r="C93" t="s">
        <v>99</v>
      </c>
      <c r="D93" s="2" t="s">
        <v>308</v>
      </c>
      <c r="E93" s="11"/>
      <c r="F93" s="14">
        <v>-0.75</v>
      </c>
      <c r="G93" s="14">
        <v>0</v>
      </c>
      <c r="H93" s="4">
        <v>4.2857142857000001</v>
      </c>
      <c r="I93" s="4">
        <v>2.4107142857000001</v>
      </c>
    </row>
    <row r="94" spans="1:10" x14ac:dyDescent="0.45">
      <c r="A94" s="2">
        <f t="shared" si="1"/>
        <v>93</v>
      </c>
      <c r="B94" t="s">
        <v>96</v>
      </c>
      <c r="C94" t="s">
        <v>100</v>
      </c>
      <c r="D94" s="2" t="s">
        <v>308</v>
      </c>
      <c r="E94" s="11"/>
      <c r="F94" s="14">
        <v>-0.5</v>
      </c>
      <c r="G94" s="14">
        <v>0</v>
      </c>
      <c r="H94" s="4">
        <v>4.1877356094999998</v>
      </c>
      <c r="I94" s="4">
        <v>2.3556012803000002</v>
      </c>
    </row>
    <row r="95" spans="1:10" x14ac:dyDescent="0.45">
      <c r="A95" s="2">
        <f t="shared" si="1"/>
        <v>94</v>
      </c>
      <c r="B95" t="s">
        <v>96</v>
      </c>
      <c r="C95" t="s">
        <v>101</v>
      </c>
      <c r="D95" s="2" t="s">
        <v>308</v>
      </c>
      <c r="E95" s="11"/>
      <c r="F95" s="14">
        <v>0</v>
      </c>
      <c r="G95" s="14">
        <v>0</v>
      </c>
      <c r="H95" s="4">
        <v>6</v>
      </c>
      <c r="I95" s="4">
        <v>3.375</v>
      </c>
    </row>
    <row r="96" spans="1:10" x14ac:dyDescent="0.45">
      <c r="A96" s="2">
        <f t="shared" si="1"/>
        <v>95</v>
      </c>
      <c r="B96" t="s">
        <v>96</v>
      </c>
      <c r="C96" t="s">
        <v>102</v>
      </c>
      <c r="D96" s="2" t="s">
        <v>308</v>
      </c>
      <c r="E96" s="11"/>
      <c r="F96" s="14">
        <v>-1.4</v>
      </c>
      <c r="G96" s="14">
        <v>0</v>
      </c>
      <c r="H96" s="4">
        <v>3</v>
      </c>
      <c r="I96" s="4">
        <v>1.6875</v>
      </c>
    </row>
    <row r="97" spans="1:10" x14ac:dyDescent="0.45">
      <c r="A97" s="2">
        <f t="shared" si="1"/>
        <v>96</v>
      </c>
      <c r="B97" t="s">
        <v>96</v>
      </c>
      <c r="C97" t="s">
        <v>103</v>
      </c>
      <c r="D97" s="2" t="s">
        <v>308</v>
      </c>
      <c r="E97" s="11"/>
      <c r="F97" s="14">
        <v>-1.4</v>
      </c>
      <c r="G97" s="14">
        <v>0</v>
      </c>
      <c r="H97" s="4">
        <v>5.6960146865999999</v>
      </c>
      <c r="I97" s="4">
        <v>3.2040082611999998</v>
      </c>
    </row>
    <row r="98" spans="1:10" x14ac:dyDescent="0.45">
      <c r="A98" s="2">
        <f t="shared" si="1"/>
        <v>97</v>
      </c>
      <c r="B98" t="s">
        <v>96</v>
      </c>
      <c r="C98" t="s">
        <v>104</v>
      </c>
      <c r="D98" s="2" t="s">
        <v>308</v>
      </c>
      <c r="E98" s="11"/>
      <c r="F98" s="14">
        <v>-2</v>
      </c>
      <c r="G98" s="14">
        <v>0</v>
      </c>
      <c r="H98" s="4">
        <v>19.878954426</v>
      </c>
      <c r="I98" s="4">
        <v>11.181911864</v>
      </c>
    </row>
    <row r="99" spans="1:10" x14ac:dyDescent="0.45">
      <c r="A99" s="2">
        <f t="shared" si="1"/>
        <v>98</v>
      </c>
      <c r="B99" t="s">
        <v>96</v>
      </c>
      <c r="C99" t="s">
        <v>105</v>
      </c>
      <c r="D99" s="2" t="s">
        <v>308</v>
      </c>
      <c r="E99" s="11"/>
      <c r="F99" s="14">
        <v>0</v>
      </c>
      <c r="G99" s="14">
        <v>0</v>
      </c>
      <c r="H99" s="4">
        <v>4.5202694987000003</v>
      </c>
      <c r="I99" s="4">
        <v>2.542651593</v>
      </c>
    </row>
    <row r="100" spans="1:10" x14ac:dyDescent="0.45">
      <c r="A100" s="2">
        <f t="shared" si="1"/>
        <v>99</v>
      </c>
      <c r="B100" t="s">
        <v>96</v>
      </c>
      <c r="C100" t="s">
        <v>106</v>
      </c>
      <c r="D100" s="2" t="s">
        <v>308</v>
      </c>
      <c r="E100" s="11"/>
      <c r="F100" s="14">
        <v>-0.75</v>
      </c>
      <c r="G100" s="14">
        <v>0</v>
      </c>
      <c r="H100" s="4">
        <v>8.31700354</v>
      </c>
      <c r="I100" s="4">
        <v>4.6783144913000001</v>
      </c>
    </row>
    <row r="101" spans="1:10" x14ac:dyDescent="0.45">
      <c r="A101" s="2">
        <f t="shared" si="1"/>
        <v>100</v>
      </c>
      <c r="B101" t="s">
        <v>96</v>
      </c>
      <c r="C101" t="s">
        <v>107</v>
      </c>
      <c r="D101" s="2" t="s">
        <v>308</v>
      </c>
      <c r="E101" s="11"/>
      <c r="F101" s="14"/>
      <c r="G101" s="14"/>
      <c r="H101" s="4"/>
      <c r="I101" s="4"/>
    </row>
    <row r="102" spans="1:10" x14ac:dyDescent="0.45">
      <c r="A102" s="2">
        <f t="shared" si="1"/>
        <v>101</v>
      </c>
      <c r="B102" t="s">
        <v>96</v>
      </c>
      <c r="C102" t="s">
        <v>108</v>
      </c>
      <c r="D102" s="2" t="s">
        <v>308</v>
      </c>
      <c r="E102" s="11"/>
      <c r="F102" s="14">
        <v>-0.5</v>
      </c>
      <c r="G102" s="14">
        <v>0</v>
      </c>
      <c r="H102" s="4">
        <v>3</v>
      </c>
      <c r="I102" s="4">
        <v>1.6875</v>
      </c>
    </row>
    <row r="103" spans="1:10" x14ac:dyDescent="0.45">
      <c r="A103" s="2">
        <f t="shared" si="1"/>
        <v>102</v>
      </c>
      <c r="B103" t="s">
        <v>96</v>
      </c>
      <c r="C103" t="s">
        <v>109</v>
      </c>
      <c r="D103" s="2" t="s">
        <v>308</v>
      </c>
      <c r="E103" s="11"/>
      <c r="F103" s="14">
        <v>-0.75</v>
      </c>
      <c r="G103" s="14">
        <v>0</v>
      </c>
      <c r="H103" s="4">
        <v>10.867649183999999</v>
      </c>
      <c r="I103" s="4">
        <v>6.1130526660999998</v>
      </c>
    </row>
    <row r="104" spans="1:10" x14ac:dyDescent="0.45">
      <c r="A104" s="2">
        <f t="shared" si="1"/>
        <v>103</v>
      </c>
      <c r="B104" t="s">
        <v>96</v>
      </c>
      <c r="C104" t="s">
        <v>110</v>
      </c>
      <c r="D104" s="2" t="s">
        <v>308</v>
      </c>
      <c r="E104" s="11"/>
      <c r="F104" s="14">
        <v>0</v>
      </c>
      <c r="G104" s="14">
        <v>0</v>
      </c>
      <c r="H104" s="4">
        <v>20</v>
      </c>
      <c r="I104" s="4">
        <v>11.25</v>
      </c>
    </row>
    <row r="105" spans="1:10" ht="20.65" customHeight="1" x14ac:dyDescent="0.45">
      <c r="A105" s="2">
        <f t="shared" si="1"/>
        <v>104</v>
      </c>
      <c r="B105" t="s">
        <v>96</v>
      </c>
      <c r="C105" t="s">
        <v>111</v>
      </c>
      <c r="D105" s="2" t="s">
        <v>308</v>
      </c>
      <c r="E105" s="11"/>
      <c r="F105" s="14">
        <v>0</v>
      </c>
      <c r="G105" s="14">
        <v>0</v>
      </c>
      <c r="H105" s="4">
        <v>7.5</v>
      </c>
      <c r="I105" s="4">
        <v>4.21875</v>
      </c>
    </row>
    <row r="106" spans="1:10" x14ac:dyDescent="0.45">
      <c r="A106" s="2">
        <f t="shared" si="1"/>
        <v>105</v>
      </c>
      <c r="B106" t="s">
        <v>96</v>
      </c>
      <c r="C106" t="s">
        <v>112</v>
      </c>
      <c r="D106" s="2" t="s">
        <v>308</v>
      </c>
      <c r="E106" s="11"/>
      <c r="F106" s="14">
        <v>0</v>
      </c>
      <c r="G106" s="14">
        <v>0</v>
      </c>
      <c r="H106" s="4">
        <v>4</v>
      </c>
      <c r="I106" s="4">
        <v>2.25</v>
      </c>
    </row>
    <row r="107" spans="1:10" x14ac:dyDescent="0.45">
      <c r="A107" s="2">
        <f t="shared" si="1"/>
        <v>106</v>
      </c>
      <c r="B107" t="s">
        <v>96</v>
      </c>
      <c r="C107" t="s">
        <v>113</v>
      </c>
      <c r="D107" s="2" t="s">
        <v>308</v>
      </c>
      <c r="E107" s="11"/>
      <c r="F107" s="14">
        <v>-0.58126820893451703</v>
      </c>
      <c r="G107" s="14">
        <v>-0.109703194367369</v>
      </c>
      <c r="H107" s="4">
        <v>1.8124306325999999</v>
      </c>
      <c r="I107" s="4">
        <v>1.0194922309000001</v>
      </c>
    </row>
    <row r="108" spans="1:10" ht="14.65" thickBot="1" x14ac:dyDescent="0.5">
      <c r="A108" s="9">
        <f t="shared" si="1"/>
        <v>107</v>
      </c>
      <c r="B108" s="6" t="s">
        <v>96</v>
      </c>
      <c r="C108" s="6" t="s">
        <v>114</v>
      </c>
      <c r="D108" s="5" t="s">
        <v>308</v>
      </c>
      <c r="E108" s="12"/>
      <c r="F108" s="15">
        <v>-0.36983592449361802</v>
      </c>
      <c r="G108" s="15">
        <v>-1.44284128745837E-2</v>
      </c>
      <c r="H108" s="8">
        <v>4.1593292608999999</v>
      </c>
      <c r="I108" s="8">
        <v>2.3396227092999999</v>
      </c>
      <c r="J108" s="6"/>
    </row>
    <row r="109" spans="1:10" x14ac:dyDescent="0.45">
      <c r="A109" s="2">
        <f t="shared" si="1"/>
        <v>108</v>
      </c>
      <c r="B109" t="s">
        <v>115</v>
      </c>
      <c r="C109" t="s">
        <v>116</v>
      </c>
      <c r="D109" s="2" t="s">
        <v>308</v>
      </c>
      <c r="E109" s="11"/>
      <c r="F109" s="14">
        <v>0</v>
      </c>
      <c r="G109" s="14">
        <v>5.75</v>
      </c>
      <c r="H109" s="4">
        <v>19.607041454000001</v>
      </c>
      <c r="I109" s="4">
        <v>11.028960818</v>
      </c>
    </row>
    <row r="110" spans="1:10" x14ac:dyDescent="0.45">
      <c r="A110" s="2">
        <f t="shared" si="1"/>
        <v>109</v>
      </c>
      <c r="B110" t="s">
        <v>115</v>
      </c>
      <c r="C110" t="s">
        <v>117</v>
      </c>
      <c r="D110" s="2" t="s">
        <v>308</v>
      </c>
      <c r="E110" s="11"/>
      <c r="F110" s="14">
        <v>0.45753085666232601</v>
      </c>
      <c r="G110" s="14">
        <v>0.18277777777777701</v>
      </c>
      <c r="H110" s="4">
        <v>2.0306172839999999</v>
      </c>
      <c r="I110" s="4">
        <v>1.1422222222</v>
      </c>
    </row>
    <row r="111" spans="1:10" x14ac:dyDescent="0.45">
      <c r="A111" s="2">
        <f t="shared" si="1"/>
        <v>110</v>
      </c>
      <c r="B111" t="s">
        <v>115</v>
      </c>
      <c r="C111" t="s">
        <v>118</v>
      </c>
      <c r="D111" s="2" t="s">
        <v>308</v>
      </c>
      <c r="E111" s="11"/>
      <c r="F111" s="14">
        <v>0</v>
      </c>
      <c r="G111" s="14">
        <v>0</v>
      </c>
      <c r="H111" s="4">
        <v>4</v>
      </c>
      <c r="I111" s="4">
        <v>2.25</v>
      </c>
    </row>
    <row r="112" spans="1:10" x14ac:dyDescent="0.45">
      <c r="A112" s="2">
        <f t="shared" si="1"/>
        <v>111</v>
      </c>
      <c r="B112" t="s">
        <v>115</v>
      </c>
      <c r="C112" t="s">
        <v>119</v>
      </c>
      <c r="D112" s="2" t="s">
        <v>308</v>
      </c>
      <c r="E112" s="11"/>
      <c r="F112" s="14">
        <v>0.5</v>
      </c>
      <c r="G112" s="14">
        <v>0.433</v>
      </c>
      <c r="H112" s="4">
        <v>2</v>
      </c>
      <c r="I112" s="4">
        <v>1.125</v>
      </c>
    </row>
    <row r="113" spans="1:10" ht="14.65" thickBot="1" x14ac:dyDescent="0.5">
      <c r="A113" s="9">
        <f t="shared" si="1"/>
        <v>112</v>
      </c>
      <c r="B113" s="6" t="s">
        <v>115</v>
      </c>
      <c r="C113" s="6" t="s">
        <v>120</v>
      </c>
      <c r="D113" s="5" t="s">
        <v>308</v>
      </c>
      <c r="E113" s="12"/>
      <c r="F113" s="15">
        <v>-5.3600823045271999E-3</v>
      </c>
      <c r="G113" s="15">
        <v>1.0289157664609001</v>
      </c>
      <c r="H113" s="8">
        <v>1.4744156379</v>
      </c>
      <c r="I113" s="8">
        <v>0.82935879629999998</v>
      </c>
      <c r="J113" s="6"/>
    </row>
    <row r="114" spans="1:10" x14ac:dyDescent="0.45">
      <c r="A114" s="2">
        <f t="shared" si="1"/>
        <v>113</v>
      </c>
      <c r="B114" t="s">
        <v>121</v>
      </c>
      <c r="C114" t="s">
        <v>122</v>
      </c>
      <c r="D114" s="2" t="s">
        <v>308</v>
      </c>
      <c r="E114" s="11"/>
      <c r="F114" s="14">
        <v>2.77704204776421E-2</v>
      </c>
      <c r="G114" s="14">
        <v>-2.2920575359599699E-2</v>
      </c>
      <c r="H114" s="4">
        <v>4.4267667291999997</v>
      </c>
      <c r="I114" s="4">
        <v>2.4900562852000001</v>
      </c>
    </row>
    <row r="115" spans="1:10" x14ac:dyDescent="0.45">
      <c r="A115" s="2">
        <f t="shared" si="1"/>
        <v>114</v>
      </c>
      <c r="B115" t="s">
        <v>121</v>
      </c>
      <c r="C115" t="s">
        <v>123</v>
      </c>
      <c r="D115" s="2" t="s">
        <v>308</v>
      </c>
      <c r="E115" s="11"/>
      <c r="F115" s="14">
        <v>-7.6937178754299299E-2</v>
      </c>
      <c r="G115" s="14">
        <v>9.1744840525328306E-3</v>
      </c>
      <c r="H115" s="4">
        <v>4.0145090681999998</v>
      </c>
      <c r="I115" s="4">
        <v>2.2581613508</v>
      </c>
    </row>
    <row r="116" spans="1:10" x14ac:dyDescent="0.45">
      <c r="A116" s="2">
        <f t="shared" si="1"/>
        <v>115</v>
      </c>
      <c r="B116" t="s">
        <v>121</v>
      </c>
      <c r="C116" t="s">
        <v>124</v>
      </c>
      <c r="D116" s="2" t="s">
        <v>308</v>
      </c>
      <c r="E116" s="11"/>
      <c r="F116" s="14">
        <v>-4.2501624550500203E-2</v>
      </c>
      <c r="G116" s="14">
        <v>-1.49656035021887E-2</v>
      </c>
      <c r="H116" s="4">
        <v>5.2552845528000001</v>
      </c>
      <c r="I116" s="4">
        <v>2.956097561</v>
      </c>
    </row>
    <row r="117" spans="1:10" x14ac:dyDescent="0.45">
      <c r="A117" s="2">
        <f t="shared" si="1"/>
        <v>116</v>
      </c>
      <c r="B117" t="s">
        <v>121</v>
      </c>
      <c r="C117" t="s">
        <v>125</v>
      </c>
      <c r="D117" s="2" t="s">
        <v>308</v>
      </c>
      <c r="E117" s="11"/>
      <c r="F117" s="14">
        <v>0.20147063989522099</v>
      </c>
      <c r="G117" s="14">
        <v>-2.16709757128607E-2</v>
      </c>
      <c r="H117" s="4">
        <v>4.3163112450999996</v>
      </c>
      <c r="I117" s="4">
        <v>2.4279250753000001</v>
      </c>
    </row>
    <row r="118" spans="1:10" x14ac:dyDescent="0.45">
      <c r="A118" s="2">
        <f t="shared" si="1"/>
        <v>117</v>
      </c>
      <c r="B118" t="s">
        <v>121</v>
      </c>
      <c r="C118" t="s">
        <v>126</v>
      </c>
      <c r="D118" s="2" t="s">
        <v>308</v>
      </c>
      <c r="F118" s="3"/>
      <c r="G118" s="3"/>
      <c r="H118" s="4"/>
      <c r="I118" s="4"/>
    </row>
    <row r="119" spans="1:10" x14ac:dyDescent="0.45">
      <c r="A119" s="2">
        <f t="shared" si="1"/>
        <v>118</v>
      </c>
      <c r="B119" t="s">
        <v>121</v>
      </c>
      <c r="C119" t="s">
        <v>127</v>
      </c>
      <c r="D119" s="2" t="s">
        <v>308</v>
      </c>
      <c r="F119" s="3">
        <v>-4.4918290473526801E-2</v>
      </c>
      <c r="G119" s="3">
        <v>-1.35760257441672E-2</v>
      </c>
      <c r="H119" s="4">
        <v>4.2906945562000001</v>
      </c>
      <c r="I119" s="4">
        <v>2.4135156878999999</v>
      </c>
    </row>
    <row r="120" spans="1:10" x14ac:dyDescent="0.45">
      <c r="A120" s="2">
        <f t="shared" si="1"/>
        <v>119</v>
      </c>
      <c r="B120" t="s">
        <v>121</v>
      </c>
      <c r="C120" t="s">
        <v>128</v>
      </c>
      <c r="D120" s="2" t="s">
        <v>308</v>
      </c>
      <c r="F120" s="3">
        <v>3.61357832376933E-2</v>
      </c>
      <c r="G120" s="3">
        <v>-1.3274336283185599E-2</v>
      </c>
      <c r="H120" s="4">
        <v>3.9351034248999999</v>
      </c>
      <c r="I120" s="4">
        <v>2.2134956765</v>
      </c>
    </row>
    <row r="121" spans="1:10" x14ac:dyDescent="0.45">
      <c r="A121" s="2">
        <f t="shared" si="1"/>
        <v>120</v>
      </c>
      <c r="B121" t="s">
        <v>121</v>
      </c>
      <c r="C121" t="s">
        <v>129</v>
      </c>
      <c r="D121" s="2" t="s">
        <v>308</v>
      </c>
      <c r="F121" s="3">
        <v>-6.7149474557521996E-3</v>
      </c>
      <c r="G121" s="3">
        <v>-8.5915030420353602E-2</v>
      </c>
      <c r="H121" s="4">
        <v>4.4701327433999998</v>
      </c>
      <c r="I121" s="4">
        <v>2.5144496681000001</v>
      </c>
    </row>
    <row r="122" spans="1:10" x14ac:dyDescent="0.45">
      <c r="A122" s="2">
        <f t="shared" si="1"/>
        <v>121</v>
      </c>
      <c r="B122" t="s">
        <v>121</v>
      </c>
      <c r="C122" t="s">
        <v>130</v>
      </c>
      <c r="D122" s="2" t="s">
        <v>308</v>
      </c>
      <c r="F122" s="3">
        <v>-5.12909979064902E-2</v>
      </c>
      <c r="G122" s="3">
        <v>-2.6495987438939099E-2</v>
      </c>
      <c r="H122" s="4">
        <v>4.2812281926000004</v>
      </c>
      <c r="I122" s="4">
        <v>2.4081908582999998</v>
      </c>
    </row>
    <row r="123" spans="1:10" x14ac:dyDescent="0.45">
      <c r="A123" s="2">
        <f t="shared" si="1"/>
        <v>122</v>
      </c>
      <c r="B123" t="s">
        <v>121</v>
      </c>
      <c r="C123" t="s">
        <v>131</v>
      </c>
      <c r="D123" s="2" t="s">
        <v>308</v>
      </c>
      <c r="F123" s="3">
        <v>4.98391129336773E-2</v>
      </c>
      <c r="G123" s="3">
        <v>2.6326001682159001E-2</v>
      </c>
      <c r="H123" s="4">
        <v>3.4213639189</v>
      </c>
      <c r="I123" s="4">
        <v>1.9245172044000001</v>
      </c>
    </row>
    <row r="124" spans="1:10" x14ac:dyDescent="0.45">
      <c r="A124" s="2">
        <f t="shared" si="1"/>
        <v>123</v>
      </c>
      <c r="B124" t="s">
        <v>121</v>
      </c>
      <c r="C124" t="s">
        <v>132</v>
      </c>
      <c r="D124" s="2" t="s">
        <v>308</v>
      </c>
      <c r="F124" s="3">
        <v>6.46201485773963E-2</v>
      </c>
      <c r="G124" s="3">
        <v>-1.5682349015682401E-2</v>
      </c>
      <c r="H124" s="4">
        <v>3.9862084307000001</v>
      </c>
      <c r="I124" s="4">
        <v>2.2422422422000001</v>
      </c>
    </row>
    <row r="125" spans="1:10" x14ac:dyDescent="0.45">
      <c r="A125" s="2">
        <f t="shared" si="1"/>
        <v>124</v>
      </c>
      <c r="B125" t="s">
        <v>121</v>
      </c>
      <c r="C125" t="s">
        <v>133</v>
      </c>
      <c r="D125" s="2" t="s">
        <v>308</v>
      </c>
      <c r="F125" s="3">
        <v>-4.2389169624309896E-3</v>
      </c>
      <c r="G125" s="3">
        <v>5.82727377654678E-3</v>
      </c>
      <c r="H125" s="4">
        <v>4.2807017543999999</v>
      </c>
      <c r="I125" s="4">
        <v>2.4078947367999999</v>
      </c>
    </row>
    <row r="126" spans="1:10" x14ac:dyDescent="0.45">
      <c r="A126" s="2">
        <f t="shared" si="1"/>
        <v>125</v>
      </c>
      <c r="B126" t="s">
        <v>121</v>
      </c>
      <c r="C126" t="s">
        <v>134</v>
      </c>
      <c r="D126" s="2" t="s">
        <v>308</v>
      </c>
      <c r="F126" s="3">
        <v>-8.4983897539387301E-2</v>
      </c>
      <c r="G126" s="3">
        <v>-3.07017543859649E-2</v>
      </c>
      <c r="H126" s="4">
        <v>3.5530932595000002</v>
      </c>
      <c r="I126" s="4">
        <v>1.9986149583999999</v>
      </c>
    </row>
    <row r="127" spans="1:10" x14ac:dyDescent="0.45">
      <c r="A127" s="2">
        <f t="shared" si="1"/>
        <v>126</v>
      </c>
      <c r="B127" t="s">
        <v>121</v>
      </c>
      <c r="C127" t="s">
        <v>135</v>
      </c>
      <c r="D127" s="2" t="s">
        <v>308</v>
      </c>
      <c r="F127" s="3">
        <v>0.14852056347974399</v>
      </c>
      <c r="G127" s="3">
        <v>-1.7447068403908701E-2</v>
      </c>
      <c r="H127" s="4">
        <v>4.0217155266000004</v>
      </c>
      <c r="I127" s="4">
        <v>2.2622149836999998</v>
      </c>
    </row>
    <row r="128" spans="1:10" x14ac:dyDescent="0.45">
      <c r="A128" s="2">
        <f t="shared" si="1"/>
        <v>127</v>
      </c>
      <c r="B128" t="s">
        <v>121</v>
      </c>
      <c r="C128" t="s">
        <v>136</v>
      </c>
      <c r="D128" s="2" t="s">
        <v>308</v>
      </c>
      <c r="F128" s="3">
        <v>0.29408253365308401</v>
      </c>
      <c r="G128" s="3">
        <v>-4.9674266324370797E-3</v>
      </c>
      <c r="H128" s="4">
        <v>4.1346362981000002</v>
      </c>
      <c r="I128" s="4">
        <v>2.3257329176999999</v>
      </c>
    </row>
    <row r="129" spans="1:10" x14ac:dyDescent="0.45">
      <c r="A129" s="2">
        <f t="shared" si="1"/>
        <v>128</v>
      </c>
      <c r="B129" t="s">
        <v>121</v>
      </c>
      <c r="C129" t="s">
        <v>137</v>
      </c>
      <c r="D129" s="2" t="s">
        <v>308</v>
      </c>
      <c r="F129" s="3">
        <v>5.22564420482622E-2</v>
      </c>
      <c r="G129" s="3">
        <v>-6.7080620445724298E-3</v>
      </c>
      <c r="H129" s="4">
        <v>3.6395223909999999</v>
      </c>
      <c r="I129" s="4">
        <v>2.0472313449000001</v>
      </c>
    </row>
    <row r="130" spans="1:10" x14ac:dyDescent="0.45">
      <c r="A130" s="2">
        <f t="shared" si="1"/>
        <v>129</v>
      </c>
      <c r="B130" t="s">
        <v>121</v>
      </c>
      <c r="C130" t="s">
        <v>138</v>
      </c>
      <c r="D130" s="2" t="s">
        <v>308</v>
      </c>
      <c r="F130" s="3">
        <v>0.248208419352479</v>
      </c>
      <c r="G130" s="3">
        <v>-4.7536644951140003E-2</v>
      </c>
      <c r="H130" s="4">
        <v>4.3257328990000001</v>
      </c>
      <c r="I130" s="4">
        <v>2.4332247557</v>
      </c>
    </row>
    <row r="131" spans="1:10" x14ac:dyDescent="0.45">
      <c r="A131" s="2">
        <f t="shared" si="1"/>
        <v>130</v>
      </c>
      <c r="B131" t="s">
        <v>121</v>
      </c>
      <c r="C131" t="s">
        <v>139</v>
      </c>
      <c r="D131" s="2" t="s">
        <v>308</v>
      </c>
      <c r="F131" s="3">
        <v>2.7429579631773698E-2</v>
      </c>
      <c r="G131" s="3">
        <v>2.3141735918743899E-3</v>
      </c>
      <c r="H131" s="4">
        <v>3.2650046168000002</v>
      </c>
      <c r="I131" s="4">
        <v>1.836565097</v>
      </c>
    </row>
    <row r="132" spans="1:10" x14ac:dyDescent="0.45">
      <c r="A132" s="2">
        <f t="shared" si="1"/>
        <v>131</v>
      </c>
      <c r="B132" t="s">
        <v>121</v>
      </c>
      <c r="C132" t="s">
        <v>140</v>
      </c>
      <c r="D132" s="2" t="s">
        <v>308</v>
      </c>
      <c r="F132" s="3">
        <v>-0.21792330332409901</v>
      </c>
      <c r="G132" s="3">
        <v>9.8943905817174497E-3</v>
      </c>
      <c r="H132" s="4">
        <v>4.2216066481999999</v>
      </c>
      <c r="I132" s="4">
        <v>2.3746537395999998</v>
      </c>
    </row>
    <row r="133" spans="1:10" x14ac:dyDescent="0.45">
      <c r="A133" s="2">
        <f t="shared" si="1"/>
        <v>132</v>
      </c>
      <c r="B133" t="s">
        <v>121</v>
      </c>
      <c r="C133" t="s">
        <v>141</v>
      </c>
      <c r="D133" s="2" t="s">
        <v>308</v>
      </c>
      <c r="F133" s="3">
        <v>-3.8261743001330402E-2</v>
      </c>
      <c r="G133" s="3">
        <v>-1.7082178955923399E-2</v>
      </c>
      <c r="H133" s="4">
        <v>4.3582641940000002</v>
      </c>
      <c r="I133" s="4">
        <v>2.4515236091000001</v>
      </c>
    </row>
    <row r="134" spans="1:10" x14ac:dyDescent="0.45">
      <c r="A134" s="2">
        <f t="shared" si="1"/>
        <v>133</v>
      </c>
      <c r="B134" t="s">
        <v>121</v>
      </c>
      <c r="C134" t="s">
        <v>142</v>
      </c>
      <c r="D134" s="2" t="s">
        <v>308</v>
      </c>
      <c r="F134" s="3">
        <v>0.106066758676667</v>
      </c>
      <c r="G134" s="3">
        <v>-3.1555374592834001E-2</v>
      </c>
      <c r="H134" s="4">
        <v>3.9956568947000002</v>
      </c>
      <c r="I134" s="4">
        <v>2.2475570032999999</v>
      </c>
    </row>
    <row r="135" spans="1:10" x14ac:dyDescent="0.45">
      <c r="A135" s="2">
        <f t="shared" si="1"/>
        <v>134</v>
      </c>
      <c r="B135" t="s">
        <v>121</v>
      </c>
      <c r="C135" t="s">
        <v>143</v>
      </c>
      <c r="D135" s="2" t="s">
        <v>308</v>
      </c>
      <c r="F135" s="3">
        <v>1.6849853853769699E-2</v>
      </c>
      <c r="G135" s="3">
        <v>4.1378116343490801E-3</v>
      </c>
      <c r="H135" s="4">
        <v>3.9778393352000001</v>
      </c>
      <c r="I135" s="4">
        <v>2.237534626</v>
      </c>
    </row>
    <row r="136" spans="1:10" ht="14.65" thickBot="1" x14ac:dyDescent="0.5">
      <c r="A136" s="9">
        <f t="shared" ref="A136:A209" si="2">A135+1</f>
        <v>135</v>
      </c>
      <c r="B136" s="6" t="s">
        <v>121</v>
      </c>
      <c r="C136" s="6" t="s">
        <v>144</v>
      </c>
      <c r="D136" s="5" t="s">
        <v>308</v>
      </c>
      <c r="E136" s="6"/>
      <c r="F136" s="7">
        <v>-0.111726678969786</v>
      </c>
      <c r="G136" s="7">
        <v>-1.0820635468014E-3</v>
      </c>
      <c r="H136" s="8">
        <v>4.2474607853000004</v>
      </c>
      <c r="I136" s="8">
        <v>2.3891966918</v>
      </c>
      <c r="J136" s="6"/>
    </row>
    <row r="137" spans="1:10" x14ac:dyDescent="0.45">
      <c r="A137" s="2">
        <f t="shared" si="2"/>
        <v>136</v>
      </c>
      <c r="B137" t="s">
        <v>145</v>
      </c>
      <c r="C137" t="s">
        <v>146</v>
      </c>
      <c r="D137" s="2" t="s">
        <v>308</v>
      </c>
      <c r="F137" s="3"/>
      <c r="G137" s="3"/>
      <c r="H137" s="4"/>
      <c r="I137" s="4"/>
    </row>
    <row r="138" spans="1:10" x14ac:dyDescent="0.45">
      <c r="A138" s="2">
        <f t="shared" si="2"/>
        <v>137</v>
      </c>
      <c r="B138" t="s">
        <v>145</v>
      </c>
      <c r="C138" t="s">
        <v>147</v>
      </c>
      <c r="D138" s="2" t="s">
        <v>308</v>
      </c>
      <c r="F138" s="3">
        <v>0</v>
      </c>
      <c r="G138" s="3">
        <v>0</v>
      </c>
      <c r="H138" s="4">
        <v>4</v>
      </c>
      <c r="I138" s="4">
        <v>2.25</v>
      </c>
    </row>
    <row r="139" spans="1:10" x14ac:dyDescent="0.45">
      <c r="A139" s="2">
        <f t="shared" si="2"/>
        <v>138</v>
      </c>
      <c r="B139" t="s">
        <v>145</v>
      </c>
      <c r="C139" t="s">
        <v>148</v>
      </c>
      <c r="D139" s="2" t="s">
        <v>308</v>
      </c>
      <c r="F139" s="3">
        <v>3.1250000000000002E-3</v>
      </c>
      <c r="G139" s="3">
        <v>0.15937499999999899</v>
      </c>
      <c r="H139" s="4">
        <v>4</v>
      </c>
      <c r="I139" s="4">
        <v>2.25</v>
      </c>
    </row>
    <row r="140" spans="1:10" x14ac:dyDescent="0.45">
      <c r="A140" s="2">
        <f t="shared" si="2"/>
        <v>139</v>
      </c>
      <c r="B140" t="s">
        <v>145</v>
      </c>
      <c r="C140" t="s">
        <v>149</v>
      </c>
      <c r="D140" s="2" t="s">
        <v>308</v>
      </c>
      <c r="F140" s="3"/>
      <c r="G140" s="3"/>
      <c r="H140" s="4"/>
      <c r="I140" s="4"/>
    </row>
    <row r="141" spans="1:10" x14ac:dyDescent="0.45">
      <c r="A141" s="2">
        <f t="shared" si="2"/>
        <v>140</v>
      </c>
      <c r="B141" t="s">
        <v>145</v>
      </c>
      <c r="C141" t="s">
        <v>150</v>
      </c>
      <c r="D141" s="2" t="s">
        <v>308</v>
      </c>
      <c r="F141" s="3">
        <v>0</v>
      </c>
      <c r="G141" s="3">
        <v>0</v>
      </c>
      <c r="H141" s="4">
        <v>4.4535706104999999</v>
      </c>
      <c r="I141" s="4">
        <v>2.5051334684</v>
      </c>
    </row>
    <row r="142" spans="1:10" x14ac:dyDescent="0.45">
      <c r="A142" s="2">
        <f t="shared" si="2"/>
        <v>141</v>
      </c>
      <c r="B142" t="s">
        <v>145</v>
      </c>
      <c r="C142" t="s">
        <v>151</v>
      </c>
      <c r="D142" s="2" t="s">
        <v>308</v>
      </c>
      <c r="F142" s="3">
        <v>0</v>
      </c>
      <c r="G142" s="3">
        <v>0</v>
      </c>
      <c r="H142" s="4">
        <v>3.9585237323000002</v>
      </c>
      <c r="I142" s="4">
        <v>2.2266695994000001</v>
      </c>
    </row>
    <row r="143" spans="1:10" x14ac:dyDescent="0.45">
      <c r="A143" s="2">
        <f t="shared" si="2"/>
        <v>142</v>
      </c>
      <c r="B143" t="s">
        <v>145</v>
      </c>
      <c r="C143" t="s">
        <v>152</v>
      </c>
      <c r="D143" s="2" t="s">
        <v>308</v>
      </c>
      <c r="F143" s="3"/>
      <c r="G143" s="3"/>
      <c r="H143" s="4"/>
      <c r="I143" s="4"/>
    </row>
    <row r="144" spans="1:10" x14ac:dyDescent="0.45">
      <c r="A144" s="2">
        <f t="shared" si="2"/>
        <v>143</v>
      </c>
      <c r="B144" t="s">
        <v>145</v>
      </c>
      <c r="C144" t="s">
        <v>153</v>
      </c>
      <c r="D144" s="2" t="s">
        <v>308</v>
      </c>
      <c r="F144" s="3">
        <v>0.215215215215218</v>
      </c>
      <c r="G144" s="3">
        <v>3.5035035035033198E-2</v>
      </c>
      <c r="H144" s="4">
        <v>38.438438437999999</v>
      </c>
      <c r="I144" s="4">
        <v>21.621621621999999</v>
      </c>
    </row>
    <row r="145" spans="1:11" ht="31.5" customHeight="1" x14ac:dyDescent="0.45">
      <c r="A145" s="29">
        <f t="shared" si="2"/>
        <v>144</v>
      </c>
      <c r="B145" t="s">
        <v>145</v>
      </c>
      <c r="C145" t="s">
        <v>154</v>
      </c>
      <c r="D145" s="2" t="s">
        <v>308</v>
      </c>
      <c r="E145" t="s">
        <v>341</v>
      </c>
      <c r="F145" s="3">
        <v>0.5</v>
      </c>
      <c r="G145" s="3">
        <v>0</v>
      </c>
      <c r="H145" s="4">
        <v>6</v>
      </c>
      <c r="I145" s="4">
        <v>3.375</v>
      </c>
    </row>
    <row r="146" spans="1:11" ht="31.5" customHeight="1" x14ac:dyDescent="0.45">
      <c r="A146" s="29">
        <f t="shared" si="2"/>
        <v>145</v>
      </c>
      <c r="B146" t="s">
        <v>145</v>
      </c>
      <c r="C146" t="s">
        <v>155</v>
      </c>
      <c r="D146" s="2" t="s">
        <v>308</v>
      </c>
      <c r="E146" t="s">
        <v>333</v>
      </c>
      <c r="F146" s="3">
        <v>0.445312499999999</v>
      </c>
      <c r="G146" s="3">
        <v>-3.7499999999999901E-2</v>
      </c>
      <c r="H146" s="4">
        <v>6</v>
      </c>
      <c r="I146" s="4">
        <v>3.375</v>
      </c>
    </row>
    <row r="147" spans="1:11" x14ac:dyDescent="0.45">
      <c r="A147" s="2">
        <f t="shared" si="2"/>
        <v>146</v>
      </c>
      <c r="B147" t="s">
        <v>145</v>
      </c>
      <c r="C147" t="s">
        <v>156</v>
      </c>
      <c r="D147" s="2" t="s">
        <v>308</v>
      </c>
      <c r="F147" s="3">
        <v>-0.54414062500000004</v>
      </c>
      <c r="G147" s="3">
        <v>-2.22656249999999E-2</v>
      </c>
      <c r="H147" s="4">
        <v>16</v>
      </c>
      <c r="I147" s="4">
        <v>9</v>
      </c>
    </row>
    <row r="148" spans="1:11" x14ac:dyDescent="0.45">
      <c r="A148" s="2">
        <f t="shared" si="2"/>
        <v>147</v>
      </c>
      <c r="B148" t="s">
        <v>145</v>
      </c>
      <c r="C148" t="s">
        <v>157</v>
      </c>
      <c r="D148" s="2" t="s">
        <v>308</v>
      </c>
      <c r="F148" s="3">
        <v>0</v>
      </c>
      <c r="G148" s="3">
        <v>0</v>
      </c>
      <c r="H148" s="4">
        <v>4.2870938500999998</v>
      </c>
      <c r="I148" s="4">
        <v>2.4114902907000002</v>
      </c>
    </row>
    <row r="149" spans="1:11" ht="17.25" customHeight="1" x14ac:dyDescent="0.45">
      <c r="A149" s="29">
        <f t="shared" si="2"/>
        <v>148</v>
      </c>
      <c r="B149" t="s">
        <v>145</v>
      </c>
      <c r="C149" t="s">
        <v>158</v>
      </c>
      <c r="D149" s="2" t="s">
        <v>308</v>
      </c>
      <c r="E149" t="s">
        <v>342</v>
      </c>
      <c r="F149" s="3">
        <v>0</v>
      </c>
      <c r="G149" s="3">
        <v>0</v>
      </c>
      <c r="H149" s="4">
        <v>4</v>
      </c>
      <c r="I149" s="4">
        <v>2.25</v>
      </c>
    </row>
    <row r="150" spans="1:11" x14ac:dyDescent="0.45">
      <c r="A150" s="2">
        <f t="shared" si="2"/>
        <v>149</v>
      </c>
      <c r="B150" t="s">
        <v>145</v>
      </c>
      <c r="C150" t="s">
        <v>159</v>
      </c>
      <c r="D150" s="2" t="s">
        <v>308</v>
      </c>
      <c r="F150" s="3">
        <v>0.110111467804609</v>
      </c>
      <c r="G150" s="3">
        <v>3.6509165415414803E-2</v>
      </c>
      <c r="H150" s="26">
        <v>5.9223668112999999</v>
      </c>
      <c r="I150" s="26">
        <v>3.3313313312999999</v>
      </c>
    </row>
    <row r="151" spans="1:11" ht="22.15" customHeight="1" x14ac:dyDescent="0.45">
      <c r="A151" s="29">
        <f t="shared" si="2"/>
        <v>150</v>
      </c>
      <c r="B151" t="s">
        <v>145</v>
      </c>
      <c r="C151" t="s">
        <v>160</v>
      </c>
      <c r="D151" s="2" t="s">
        <v>308</v>
      </c>
      <c r="E151" t="s">
        <v>343</v>
      </c>
      <c r="F151" s="3">
        <v>0</v>
      </c>
      <c r="G151" s="3">
        <v>0</v>
      </c>
      <c r="H151" s="4">
        <v>4</v>
      </c>
      <c r="I151" s="4">
        <v>2.25</v>
      </c>
    </row>
    <row r="152" spans="1:11" ht="13.15" customHeight="1" x14ac:dyDescent="0.45">
      <c r="A152" s="2">
        <f t="shared" si="2"/>
        <v>151</v>
      </c>
      <c r="B152" t="s">
        <v>145</v>
      </c>
      <c r="C152" t="s">
        <v>161</v>
      </c>
      <c r="D152" s="2" t="s">
        <v>308</v>
      </c>
      <c r="E152" t="s">
        <v>334</v>
      </c>
      <c r="F152" s="3">
        <v>0</v>
      </c>
      <c r="G152" s="3">
        <v>0</v>
      </c>
      <c r="H152" s="4">
        <v>5.9223668112999999</v>
      </c>
      <c r="I152" s="4">
        <v>3.3313313309999999</v>
      </c>
    </row>
    <row r="153" spans="1:11" x14ac:dyDescent="0.45">
      <c r="A153" s="2">
        <f t="shared" si="2"/>
        <v>152</v>
      </c>
      <c r="B153" t="s">
        <v>145</v>
      </c>
      <c r="C153" t="s">
        <v>162</v>
      </c>
      <c r="D153" s="2" t="s">
        <v>308</v>
      </c>
      <c r="F153" s="3">
        <v>0</v>
      </c>
      <c r="G153" s="3">
        <v>0</v>
      </c>
      <c r="H153" s="4">
        <v>3</v>
      </c>
      <c r="I153" s="4">
        <v>1.6875</v>
      </c>
    </row>
    <row r="154" spans="1:11" x14ac:dyDescent="0.45">
      <c r="A154" s="2">
        <f t="shared" si="2"/>
        <v>153</v>
      </c>
      <c r="B154" t="s">
        <v>145</v>
      </c>
      <c r="C154" t="s">
        <v>163</v>
      </c>
      <c r="D154" s="2" t="s">
        <v>308</v>
      </c>
      <c r="F154" s="3">
        <v>0</v>
      </c>
      <c r="G154" s="3">
        <v>0</v>
      </c>
      <c r="H154" s="4">
        <v>3.6934332400000001</v>
      </c>
      <c r="I154" s="4">
        <v>2.0775561974999999</v>
      </c>
    </row>
    <row r="155" spans="1:11" ht="13.5" customHeight="1" x14ac:dyDescent="0.45">
      <c r="A155" s="2">
        <f t="shared" si="2"/>
        <v>154</v>
      </c>
      <c r="B155" t="s">
        <v>145</v>
      </c>
      <c r="C155" t="s">
        <v>164</v>
      </c>
      <c r="D155" s="2" t="s">
        <v>308</v>
      </c>
      <c r="E155" t="s">
        <v>335</v>
      </c>
      <c r="F155" s="3">
        <v>0</v>
      </c>
      <c r="G155" s="3">
        <v>0</v>
      </c>
      <c r="H155" s="4">
        <v>3.6934332400000001</v>
      </c>
      <c r="I155" s="4">
        <v>2.0775561974999999</v>
      </c>
    </row>
    <row r="156" spans="1:11" ht="15" customHeight="1" x14ac:dyDescent="0.45">
      <c r="A156" s="2">
        <f t="shared" si="2"/>
        <v>155</v>
      </c>
      <c r="B156" t="s">
        <v>145</v>
      </c>
      <c r="C156" t="s">
        <v>165</v>
      </c>
      <c r="D156" s="2" t="s">
        <v>308</v>
      </c>
      <c r="E156" t="s">
        <v>336</v>
      </c>
      <c r="F156" s="3">
        <v>0</v>
      </c>
      <c r="G156" s="3">
        <v>0</v>
      </c>
      <c r="H156" s="4">
        <v>22.392791797000001</v>
      </c>
      <c r="I156" s="4">
        <v>12.595945386</v>
      </c>
    </row>
    <row r="157" spans="1:11" ht="14.65" thickBot="1" x14ac:dyDescent="0.5">
      <c r="A157" s="9">
        <f t="shared" si="2"/>
        <v>156</v>
      </c>
      <c r="B157" s="27" t="s">
        <v>145</v>
      </c>
      <c r="C157" s="27" t="s">
        <v>166</v>
      </c>
      <c r="D157" s="18" t="s">
        <v>308</v>
      </c>
      <c r="E157" s="27"/>
      <c r="F157" s="28">
        <v>0</v>
      </c>
      <c r="G157" s="28">
        <v>0</v>
      </c>
      <c r="H157" s="21">
        <v>3.2153203875999998</v>
      </c>
      <c r="I157" s="21">
        <v>1.808617718</v>
      </c>
    </row>
    <row r="158" spans="1:11" ht="14.65" thickTop="1" x14ac:dyDescent="0.45">
      <c r="A158" s="9"/>
      <c r="B158" s="30"/>
      <c r="C158" s="30"/>
      <c r="D158" s="31"/>
      <c r="E158" s="30"/>
      <c r="F158" s="32"/>
      <c r="G158" s="32"/>
      <c r="H158" s="33"/>
      <c r="I158" s="33"/>
    </row>
    <row r="159" spans="1:11" x14ac:dyDescent="0.45">
      <c r="A159" s="2">
        <f>A157+1</f>
        <v>157</v>
      </c>
      <c r="B159" t="s">
        <v>167</v>
      </c>
      <c r="C159" t="s">
        <v>168</v>
      </c>
      <c r="D159" s="2" t="s">
        <v>308</v>
      </c>
      <c r="E159" t="s">
        <v>344</v>
      </c>
      <c r="F159" s="3">
        <v>0.99843749999999898</v>
      </c>
      <c r="G159" s="3">
        <v>-1.40625E-2</v>
      </c>
      <c r="H159" s="4">
        <v>6</v>
      </c>
      <c r="I159" s="4">
        <v>3.375</v>
      </c>
      <c r="J159" t="s">
        <v>350</v>
      </c>
      <c r="K159" t="s">
        <v>358</v>
      </c>
    </row>
    <row r="160" spans="1:11" x14ac:dyDescent="0.45">
      <c r="A160" s="2">
        <f t="shared" si="2"/>
        <v>158</v>
      </c>
      <c r="B160" t="s">
        <v>167</v>
      </c>
      <c r="C160" t="s">
        <v>169</v>
      </c>
      <c r="D160" s="2" t="s">
        <v>308</v>
      </c>
      <c r="F160" s="3">
        <v>-3.9525691699608904E-3</v>
      </c>
      <c r="G160" s="3">
        <v>6.9169960474309402E-3</v>
      </c>
      <c r="H160" s="4">
        <v>6</v>
      </c>
      <c r="I160" s="4">
        <v>3.375</v>
      </c>
      <c r="J160" t="s">
        <v>351</v>
      </c>
      <c r="K160" t="s">
        <v>362</v>
      </c>
    </row>
    <row r="161" spans="1:11" x14ac:dyDescent="0.45">
      <c r="A161" s="2">
        <f t="shared" si="2"/>
        <v>159</v>
      </c>
      <c r="B161" t="s">
        <v>167</v>
      </c>
      <c r="C161" t="s">
        <v>170</v>
      </c>
      <c r="D161" s="2" t="s">
        <v>308</v>
      </c>
      <c r="E161" s="34"/>
      <c r="F161" s="3">
        <v>0.80330705765450305</v>
      </c>
      <c r="G161" s="3">
        <v>7.0312499999999898E-3</v>
      </c>
      <c r="H161" s="4">
        <v>5.2233033797999999</v>
      </c>
      <c r="I161" s="4">
        <v>2.9381081510999998</v>
      </c>
      <c r="J161" t="s">
        <v>351</v>
      </c>
      <c r="K161" t="s">
        <v>362</v>
      </c>
    </row>
    <row r="162" spans="1:11" x14ac:dyDescent="0.45">
      <c r="A162" s="2">
        <f t="shared" si="2"/>
        <v>160</v>
      </c>
      <c r="B162" t="s">
        <v>167</v>
      </c>
      <c r="C162" t="s">
        <v>171</v>
      </c>
      <c r="D162" s="2" t="s">
        <v>308</v>
      </c>
      <c r="F162" s="3">
        <v>0.5</v>
      </c>
      <c r="G162" s="3">
        <v>0</v>
      </c>
      <c r="H162" s="4">
        <v>25.722563100999999</v>
      </c>
      <c r="I162" s="4">
        <v>14.468941744</v>
      </c>
      <c r="J162" t="s">
        <v>351</v>
      </c>
      <c r="K162" t="s">
        <v>362</v>
      </c>
    </row>
    <row r="163" spans="1:11" x14ac:dyDescent="0.45">
      <c r="A163" s="2">
        <f t="shared" si="2"/>
        <v>161</v>
      </c>
      <c r="B163" t="s">
        <v>167</v>
      </c>
      <c r="C163" t="s">
        <v>172</v>
      </c>
      <c r="D163" s="2" t="s">
        <v>308</v>
      </c>
      <c r="F163" s="3">
        <v>0.5</v>
      </c>
      <c r="G163" s="3">
        <v>0</v>
      </c>
      <c r="H163" s="4">
        <v>55.137521040000003</v>
      </c>
      <c r="I163" s="4">
        <v>31.014855584999999</v>
      </c>
      <c r="J163" t="s">
        <v>351</v>
      </c>
      <c r="K163" t="s">
        <v>362</v>
      </c>
    </row>
    <row r="164" spans="1:11" x14ac:dyDescent="0.45">
      <c r="A164" s="2">
        <f t="shared" si="2"/>
        <v>162</v>
      </c>
      <c r="B164" t="s">
        <v>167</v>
      </c>
      <c r="C164" t="s">
        <v>173</v>
      </c>
      <c r="D164" s="2" t="s">
        <v>308</v>
      </c>
      <c r="F164" s="3">
        <v>-6.9169960474308206E-2</v>
      </c>
      <c r="G164" s="3">
        <v>8.8932806324111005E-2</v>
      </c>
      <c r="H164" s="4">
        <v>12</v>
      </c>
      <c r="I164" s="4">
        <v>6.75</v>
      </c>
      <c r="J164" t="s">
        <v>351</v>
      </c>
      <c r="K164" t="s">
        <v>362</v>
      </c>
    </row>
    <row r="165" spans="1:11" x14ac:dyDescent="0.45">
      <c r="A165" s="2">
        <f t="shared" si="2"/>
        <v>163</v>
      </c>
      <c r="B165" t="s">
        <v>167</v>
      </c>
      <c r="C165" t="s">
        <v>174</v>
      </c>
      <c r="D165" s="2" t="s">
        <v>308</v>
      </c>
      <c r="F165" s="3">
        <v>-5.1937595141288803E-2</v>
      </c>
      <c r="G165" s="3">
        <v>4.36566380910271E-2</v>
      </c>
      <c r="H165" s="4">
        <v>2.6986537192000002</v>
      </c>
      <c r="I165" s="4">
        <v>15.179927169999999</v>
      </c>
      <c r="J165" t="s">
        <v>351</v>
      </c>
      <c r="K165" t="s">
        <v>362</v>
      </c>
    </row>
    <row r="166" spans="1:11" ht="14.65" thickBot="1" x14ac:dyDescent="0.5">
      <c r="A166" s="9">
        <f t="shared" si="2"/>
        <v>164</v>
      </c>
      <c r="B166" s="6" t="s">
        <v>167</v>
      </c>
      <c r="C166" s="6" t="s">
        <v>175</v>
      </c>
      <c r="D166" s="5" t="s">
        <v>308</v>
      </c>
      <c r="E166" s="6"/>
      <c r="F166" s="7">
        <v>-5.0217764515757303E-2</v>
      </c>
      <c r="G166" s="7">
        <v>2.9605211767096198E-2</v>
      </c>
      <c r="H166" s="8">
        <v>29.512516469000001</v>
      </c>
      <c r="I166" s="8">
        <v>16.600790514</v>
      </c>
      <c r="J166" s="6" t="s">
        <v>351</v>
      </c>
      <c r="K166" s="6" t="s">
        <v>362</v>
      </c>
    </row>
    <row r="167" spans="1:11" x14ac:dyDescent="0.45">
      <c r="A167" s="2">
        <f t="shared" si="2"/>
        <v>165</v>
      </c>
      <c r="B167" t="s">
        <v>176</v>
      </c>
      <c r="C167" t="s">
        <v>177</v>
      </c>
      <c r="D167" s="2" t="s">
        <v>308</v>
      </c>
      <c r="F167" s="3">
        <v>0.5</v>
      </c>
      <c r="G167" s="3">
        <v>0</v>
      </c>
      <c r="H167" s="4">
        <v>11.708916568099999</v>
      </c>
      <c r="I167" s="4">
        <v>6.586265569</v>
      </c>
      <c r="J167" t="s">
        <v>352</v>
      </c>
      <c r="K167" t="s">
        <v>355</v>
      </c>
    </row>
    <row r="168" spans="1:11" x14ac:dyDescent="0.45">
      <c r="A168" s="2">
        <f t="shared" si="2"/>
        <v>166</v>
      </c>
      <c r="B168" t="s">
        <v>176</v>
      </c>
      <c r="C168" t="s">
        <v>178</v>
      </c>
      <c r="D168" s="2" t="s">
        <v>308</v>
      </c>
      <c r="F168" s="3">
        <v>1.0506908049146E-3</v>
      </c>
      <c r="G168" s="3">
        <v>6.1209568601377003E-2</v>
      </c>
      <c r="H168" s="4">
        <v>15.913224864</v>
      </c>
      <c r="I168" s="4">
        <v>8.9511889862</v>
      </c>
      <c r="J168" t="s">
        <v>352</v>
      </c>
      <c r="K168" t="s">
        <v>355</v>
      </c>
    </row>
    <row r="169" spans="1:11" x14ac:dyDescent="0.45">
      <c r="A169" s="2">
        <f t="shared" si="2"/>
        <v>167</v>
      </c>
      <c r="B169" t="s">
        <v>176</v>
      </c>
      <c r="C169" t="s">
        <v>179</v>
      </c>
      <c r="D169" s="2" t="s">
        <v>308</v>
      </c>
      <c r="F169" s="3">
        <v>-0.63635085849499495</v>
      </c>
      <c r="G169" s="3">
        <v>0.100125156445557</v>
      </c>
      <c r="H169" s="4">
        <v>20.325406911000002</v>
      </c>
      <c r="I169" s="4">
        <v>5.5349445396999999E-2</v>
      </c>
      <c r="J169" t="s">
        <v>352</v>
      </c>
      <c r="K169" t="s">
        <v>355</v>
      </c>
    </row>
    <row r="170" spans="1:11" ht="14.65" thickBot="1" x14ac:dyDescent="0.5">
      <c r="A170" s="9">
        <f t="shared" si="2"/>
        <v>168</v>
      </c>
      <c r="B170" s="6" t="s">
        <v>176</v>
      </c>
      <c r="C170" s="6" t="s">
        <v>180</v>
      </c>
      <c r="D170" s="5" t="s">
        <v>308</v>
      </c>
      <c r="E170" s="6"/>
      <c r="F170" s="7">
        <v>-2.05467938553257</v>
      </c>
      <c r="G170" s="7">
        <v>-0.387706856852924</v>
      </c>
      <c r="H170" s="8">
        <v>1.9784731066000001</v>
      </c>
      <c r="I170" s="8">
        <v>5.6862031442999998E-2</v>
      </c>
      <c r="J170" s="6" t="s">
        <v>352</v>
      </c>
      <c r="K170" s="6" t="s">
        <v>355</v>
      </c>
    </row>
    <row r="171" spans="1:11" x14ac:dyDescent="0.45">
      <c r="A171" s="2">
        <f t="shared" si="2"/>
        <v>169</v>
      </c>
      <c r="B171" t="s">
        <v>181</v>
      </c>
      <c r="C171" t="s">
        <v>182</v>
      </c>
      <c r="D171" s="2" t="s">
        <v>308</v>
      </c>
      <c r="F171" s="3">
        <v>-0.5</v>
      </c>
      <c r="G171" s="3">
        <v>-0.5</v>
      </c>
      <c r="H171" s="4">
        <v>2.109375</v>
      </c>
      <c r="I171" s="4">
        <v>1</v>
      </c>
      <c r="J171" t="s">
        <v>352</v>
      </c>
      <c r="K171" t="s">
        <v>355</v>
      </c>
    </row>
    <row r="172" spans="1:11" x14ac:dyDescent="0.45">
      <c r="A172" s="25">
        <f t="shared" si="2"/>
        <v>170</v>
      </c>
      <c r="B172" t="s">
        <v>181</v>
      </c>
      <c r="C172" t="s">
        <v>332</v>
      </c>
      <c r="D172" s="2" t="s">
        <v>308</v>
      </c>
      <c r="F172" s="3">
        <v>-0.28988974570550302</v>
      </c>
      <c r="G172" s="3">
        <v>-0.561744537960148</v>
      </c>
      <c r="H172" s="4">
        <v>2.3864853865</v>
      </c>
      <c r="I172" s="4">
        <v>0.35355339059000002</v>
      </c>
      <c r="J172" t="s">
        <v>352</v>
      </c>
      <c r="K172" t="s">
        <v>355</v>
      </c>
    </row>
    <row r="173" spans="1:11" x14ac:dyDescent="0.45">
      <c r="A173" s="2">
        <f t="shared" si="2"/>
        <v>171</v>
      </c>
      <c r="B173" t="s">
        <v>181</v>
      </c>
      <c r="C173" t="s">
        <v>183</v>
      </c>
      <c r="D173" s="2" t="s">
        <v>308</v>
      </c>
      <c r="F173" s="3">
        <v>-0.54094642857142805</v>
      </c>
      <c r="G173" s="3">
        <v>4.0113707983192998E-2</v>
      </c>
      <c r="H173" s="4">
        <v>3.6257142857</v>
      </c>
      <c r="I173" s="4">
        <v>0.31028368794</v>
      </c>
      <c r="J173" t="s">
        <v>352</v>
      </c>
      <c r="K173" t="s">
        <v>355</v>
      </c>
    </row>
    <row r="174" spans="1:11" x14ac:dyDescent="0.45">
      <c r="A174" s="2">
        <f t="shared" si="2"/>
        <v>172</v>
      </c>
      <c r="B174" t="s">
        <v>181</v>
      </c>
      <c r="C174" t="s">
        <v>184</v>
      </c>
      <c r="D174" s="2" t="s">
        <v>308</v>
      </c>
      <c r="F174" s="3">
        <v>-0.45390625000000001</v>
      </c>
      <c r="G174" s="3">
        <v>-3.90624999999999E-3</v>
      </c>
      <c r="H174" s="4">
        <v>2</v>
      </c>
      <c r="I174" s="4">
        <v>1.125</v>
      </c>
      <c r="J174" t="s">
        <v>352</v>
      </c>
      <c r="K174" t="s">
        <v>355</v>
      </c>
    </row>
    <row r="175" spans="1:11" x14ac:dyDescent="0.45">
      <c r="A175" s="2">
        <f t="shared" si="2"/>
        <v>173</v>
      </c>
      <c r="B175" t="s">
        <v>181</v>
      </c>
      <c r="C175" t="s">
        <v>185</v>
      </c>
      <c r="D175" s="2" t="s">
        <v>308</v>
      </c>
      <c r="F175" s="3">
        <v>0</v>
      </c>
      <c r="G175" s="3">
        <v>0</v>
      </c>
      <c r="H175" s="4">
        <v>4.9481546653999997</v>
      </c>
      <c r="I175" s="4">
        <v>2.7833369992999999</v>
      </c>
      <c r="J175" t="s">
        <v>352</v>
      </c>
      <c r="K175" t="s">
        <v>355</v>
      </c>
    </row>
    <row r="176" spans="1:11" x14ac:dyDescent="0.45">
      <c r="A176" s="2">
        <f t="shared" si="2"/>
        <v>174</v>
      </c>
      <c r="B176" t="s">
        <v>181</v>
      </c>
      <c r="C176" t="s">
        <v>186</v>
      </c>
      <c r="D176" s="2" t="s">
        <v>308</v>
      </c>
      <c r="F176" s="3">
        <v>0</v>
      </c>
      <c r="G176" s="3">
        <v>0</v>
      </c>
      <c r="H176" s="4">
        <v>7.9170474646000004</v>
      </c>
      <c r="I176" s="4">
        <v>4.4533391989000002</v>
      </c>
      <c r="J176" t="s">
        <v>352</v>
      </c>
      <c r="K176" t="s">
        <v>355</v>
      </c>
    </row>
    <row r="177" spans="1:11" x14ac:dyDescent="0.45">
      <c r="A177" s="2">
        <f t="shared" si="2"/>
        <v>175</v>
      </c>
      <c r="B177" t="s">
        <v>181</v>
      </c>
      <c r="C177" t="s">
        <v>187</v>
      </c>
      <c r="D177" s="2" t="s">
        <v>308</v>
      </c>
      <c r="F177" s="3">
        <v>0</v>
      </c>
      <c r="G177" s="3">
        <v>0</v>
      </c>
      <c r="H177" s="4">
        <v>6</v>
      </c>
      <c r="I177" s="4">
        <v>3.375</v>
      </c>
      <c r="J177" t="s">
        <v>352</v>
      </c>
      <c r="K177" t="s">
        <v>355</v>
      </c>
    </row>
    <row r="178" spans="1:11" x14ac:dyDescent="0.45">
      <c r="A178" s="2">
        <f t="shared" si="2"/>
        <v>176</v>
      </c>
      <c r="B178" t="s">
        <v>181</v>
      </c>
      <c r="C178" t="s">
        <v>188</v>
      </c>
      <c r="D178" s="2" t="s">
        <v>308</v>
      </c>
      <c r="F178" s="3">
        <v>0</v>
      </c>
      <c r="G178" s="3">
        <v>0</v>
      </c>
      <c r="H178" s="4">
        <v>4.0191504844999999</v>
      </c>
      <c r="I178" s="4">
        <v>2.2607721475</v>
      </c>
      <c r="J178" t="s">
        <v>352</v>
      </c>
      <c r="K178" t="s">
        <v>355</v>
      </c>
    </row>
    <row r="179" spans="1:11" x14ac:dyDescent="0.45">
      <c r="A179" s="2">
        <f t="shared" si="2"/>
        <v>177</v>
      </c>
      <c r="B179" t="s">
        <v>181</v>
      </c>
      <c r="C179" t="s">
        <v>189</v>
      </c>
      <c r="D179" s="2" t="s">
        <v>308</v>
      </c>
      <c r="F179" s="3">
        <v>0.99957651044607498</v>
      </c>
      <c r="G179" s="3">
        <v>6.3523433088651503E-3</v>
      </c>
      <c r="H179" s="4">
        <v>6.0609152673000004</v>
      </c>
      <c r="I179" s="4">
        <v>3.4092648378999999</v>
      </c>
      <c r="J179" t="s">
        <v>351</v>
      </c>
      <c r="K179" t="s">
        <v>362</v>
      </c>
    </row>
    <row r="180" spans="1:11" x14ac:dyDescent="0.45">
      <c r="A180" s="2">
        <f t="shared" si="2"/>
        <v>178</v>
      </c>
      <c r="B180" t="s">
        <v>181</v>
      </c>
      <c r="C180" t="s">
        <v>190</v>
      </c>
      <c r="D180" s="2" t="s">
        <v>308</v>
      </c>
      <c r="F180" s="3"/>
      <c r="G180" s="3"/>
      <c r="H180" s="4"/>
      <c r="I180" s="4"/>
      <c r="J180" t="s">
        <v>353</v>
      </c>
      <c r="K180" t="s">
        <v>356</v>
      </c>
    </row>
    <row r="181" spans="1:11" x14ac:dyDescent="0.45">
      <c r="A181" s="2">
        <f t="shared" si="2"/>
        <v>179</v>
      </c>
      <c r="B181" t="s">
        <v>181</v>
      </c>
      <c r="C181" t="s">
        <v>191</v>
      </c>
      <c r="D181" s="2" t="s">
        <v>308</v>
      </c>
      <c r="F181" s="3"/>
      <c r="G181" s="3"/>
      <c r="H181" s="4"/>
      <c r="I181" s="4"/>
      <c r="J181" t="s">
        <v>353</v>
      </c>
      <c r="K181" t="s">
        <v>356</v>
      </c>
    </row>
    <row r="182" spans="1:11" x14ac:dyDescent="0.45">
      <c r="A182" s="2">
        <f t="shared" si="2"/>
        <v>180</v>
      </c>
      <c r="B182" t="s">
        <v>181</v>
      </c>
      <c r="C182" t="s">
        <v>192</v>
      </c>
      <c r="D182" s="2" t="s">
        <v>308</v>
      </c>
      <c r="F182" s="3">
        <v>-0.36210937499999901</v>
      </c>
      <c r="G182" s="3">
        <v>-4.6874999999999903E-3</v>
      </c>
      <c r="H182" s="4">
        <v>4.2426406870999998</v>
      </c>
      <c r="I182" s="4">
        <v>2.3864853865</v>
      </c>
      <c r="J182" t="s">
        <v>352</v>
      </c>
      <c r="K182" t="s">
        <v>355</v>
      </c>
    </row>
    <row r="183" spans="1:11" x14ac:dyDescent="0.45">
      <c r="A183" s="2">
        <f t="shared" si="2"/>
        <v>181</v>
      </c>
      <c r="B183" t="s">
        <v>181</v>
      </c>
      <c r="C183" t="s">
        <v>193</v>
      </c>
      <c r="D183" s="2" t="s">
        <v>308</v>
      </c>
      <c r="E183" t="s">
        <v>345</v>
      </c>
      <c r="F183" s="3">
        <v>-0.394574846588925</v>
      </c>
      <c r="G183" s="3">
        <v>-1.6110981627733001E-3</v>
      </c>
      <c r="H183" s="4">
        <v>3.6934332400000001</v>
      </c>
      <c r="I183" s="4">
        <v>2.0775561974999999</v>
      </c>
      <c r="J183" t="s">
        <v>354</v>
      </c>
      <c r="K183" t="s">
        <v>362</v>
      </c>
    </row>
    <row r="184" spans="1:11" x14ac:dyDescent="0.45">
      <c r="A184" s="2">
        <f t="shared" si="2"/>
        <v>182</v>
      </c>
      <c r="B184" t="s">
        <v>181</v>
      </c>
      <c r="C184" t="s">
        <v>194</v>
      </c>
      <c r="D184" s="2" t="s">
        <v>308</v>
      </c>
      <c r="F184" s="3">
        <v>0</v>
      </c>
      <c r="G184" s="3">
        <v>0</v>
      </c>
      <c r="H184" s="4">
        <v>4</v>
      </c>
      <c r="I184" s="4">
        <v>2.5</v>
      </c>
      <c r="J184" t="s">
        <v>352</v>
      </c>
      <c r="K184" t="s">
        <v>355</v>
      </c>
    </row>
    <row r="185" spans="1:11" x14ac:dyDescent="0.45">
      <c r="A185" s="2">
        <f t="shared" si="2"/>
        <v>183</v>
      </c>
      <c r="B185" t="s">
        <v>181</v>
      </c>
      <c r="C185" t="s">
        <v>195</v>
      </c>
      <c r="D185" s="2" t="s">
        <v>308</v>
      </c>
      <c r="F185" s="3">
        <v>0</v>
      </c>
      <c r="G185" s="3">
        <v>0</v>
      </c>
      <c r="H185" s="4">
        <v>4.2870938500999998</v>
      </c>
      <c r="I185" s="4">
        <v>2.4114902907000002</v>
      </c>
      <c r="J185" t="s">
        <v>352</v>
      </c>
      <c r="K185" t="s">
        <v>355</v>
      </c>
    </row>
    <row r="186" spans="1:11" x14ac:dyDescent="0.45">
      <c r="A186" s="2">
        <f t="shared" si="2"/>
        <v>184</v>
      </c>
      <c r="B186" t="s">
        <v>181</v>
      </c>
      <c r="C186" t="s">
        <v>196</v>
      </c>
      <c r="D186" s="2" t="s">
        <v>308</v>
      </c>
      <c r="F186" s="3">
        <v>0</v>
      </c>
      <c r="G186" s="3">
        <v>0</v>
      </c>
      <c r="H186" s="4">
        <v>4</v>
      </c>
      <c r="I186" s="4">
        <v>2.25</v>
      </c>
      <c r="J186" t="s">
        <v>352</v>
      </c>
      <c r="K186" t="s">
        <v>355</v>
      </c>
    </row>
    <row r="187" spans="1:11" x14ac:dyDescent="0.45">
      <c r="A187" s="2">
        <f t="shared" si="2"/>
        <v>185</v>
      </c>
      <c r="B187" t="s">
        <v>181</v>
      </c>
      <c r="C187" t="s">
        <v>314</v>
      </c>
      <c r="D187" s="2" t="s">
        <v>308</v>
      </c>
      <c r="F187" s="3">
        <v>-0.15712696055775799</v>
      </c>
      <c r="G187" s="3">
        <v>5.5483965529608704E-3</v>
      </c>
      <c r="H187" s="4">
        <v>5.4524630516999997</v>
      </c>
      <c r="I187" s="4">
        <v>3.0670104666000002</v>
      </c>
      <c r="J187" t="s">
        <v>352</v>
      </c>
      <c r="K187" t="s">
        <v>355</v>
      </c>
    </row>
    <row r="188" spans="1:11" x14ac:dyDescent="0.45">
      <c r="A188" s="2">
        <f t="shared" si="2"/>
        <v>186</v>
      </c>
      <c r="B188" t="s">
        <v>181</v>
      </c>
      <c r="C188" t="s">
        <v>315</v>
      </c>
      <c r="D188" s="2" t="s">
        <v>308</v>
      </c>
      <c r="F188" s="3">
        <v>0</v>
      </c>
      <c r="G188" s="3">
        <v>0</v>
      </c>
      <c r="H188" s="4">
        <v>4.2857142857000001</v>
      </c>
      <c r="I188" s="4">
        <v>2.4107142857000001</v>
      </c>
      <c r="J188" t="s">
        <v>352</v>
      </c>
      <c r="K188" t="s">
        <v>355</v>
      </c>
    </row>
    <row r="189" spans="1:11" x14ac:dyDescent="0.45">
      <c r="A189" s="2">
        <f t="shared" si="2"/>
        <v>187</v>
      </c>
      <c r="B189" t="s">
        <v>181</v>
      </c>
      <c r="C189" t="s">
        <v>316</v>
      </c>
      <c r="D189" s="2" t="s">
        <v>308</v>
      </c>
      <c r="F189" s="3">
        <v>0</v>
      </c>
      <c r="G189" s="3">
        <v>0</v>
      </c>
      <c r="H189" s="4">
        <v>4.6153846154</v>
      </c>
      <c r="I189" s="4">
        <v>2.5961538462</v>
      </c>
      <c r="J189" t="s">
        <v>352</v>
      </c>
      <c r="K189" t="s">
        <v>355</v>
      </c>
    </row>
    <row r="190" spans="1:11" x14ac:dyDescent="0.45">
      <c r="A190" s="2">
        <f t="shared" si="2"/>
        <v>188</v>
      </c>
      <c r="B190" t="s">
        <v>181</v>
      </c>
      <c r="C190" t="s">
        <v>197</v>
      </c>
      <c r="D190" s="2" t="s">
        <v>308</v>
      </c>
      <c r="F190" s="3">
        <v>-0.148758993771477</v>
      </c>
      <c r="G190" s="3">
        <v>0.62955326460480998</v>
      </c>
      <c r="H190" s="4">
        <v>4.5794579574999998</v>
      </c>
      <c r="I190" s="4">
        <v>2.5759451010999999</v>
      </c>
      <c r="J190" t="s">
        <v>352</v>
      </c>
      <c r="K190" t="s">
        <v>355</v>
      </c>
    </row>
    <row r="191" spans="1:11" x14ac:dyDescent="0.45">
      <c r="A191" s="2">
        <f t="shared" si="2"/>
        <v>189</v>
      </c>
      <c r="B191" t="s">
        <v>181</v>
      </c>
      <c r="C191" t="s">
        <v>198</v>
      </c>
      <c r="D191" s="2" t="s">
        <v>308</v>
      </c>
      <c r="F191" s="3">
        <v>0</v>
      </c>
      <c r="G191" s="3">
        <v>0</v>
      </c>
      <c r="H191" s="4">
        <v>0.5</v>
      </c>
      <c r="I191" s="4">
        <v>0.28125</v>
      </c>
      <c r="J191" t="s">
        <v>352</v>
      </c>
      <c r="K191" t="s">
        <v>355</v>
      </c>
    </row>
    <row r="192" spans="1:11" x14ac:dyDescent="0.45">
      <c r="A192" s="2">
        <f t="shared" si="2"/>
        <v>190</v>
      </c>
      <c r="B192" t="s">
        <v>181</v>
      </c>
      <c r="C192" t="s">
        <v>199</v>
      </c>
      <c r="D192" s="2" t="s">
        <v>308</v>
      </c>
      <c r="E192" t="s">
        <v>346</v>
      </c>
      <c r="F192" s="3">
        <v>-0.58828124999999898</v>
      </c>
      <c r="G192" s="3">
        <v>-4.6874999999999903E-3</v>
      </c>
      <c r="H192" s="4">
        <v>3</v>
      </c>
      <c r="I192" s="4">
        <v>1.6875</v>
      </c>
      <c r="J192" t="s">
        <v>352</v>
      </c>
      <c r="K192" t="s">
        <v>355</v>
      </c>
    </row>
    <row r="193" spans="1:11" x14ac:dyDescent="0.45">
      <c r="A193" s="2">
        <f t="shared" si="2"/>
        <v>191</v>
      </c>
      <c r="B193" t="s">
        <v>181</v>
      </c>
      <c r="C193" t="s">
        <v>200</v>
      </c>
      <c r="D193" s="2" t="s">
        <v>308</v>
      </c>
      <c r="F193" s="3">
        <v>-0.249609374999999</v>
      </c>
      <c r="G193" s="3">
        <v>-1.6406250000000001E-2</v>
      </c>
      <c r="H193" s="4">
        <v>4.8735143555000002</v>
      </c>
      <c r="I193" s="4">
        <v>2.7413518250000002</v>
      </c>
      <c r="J193" t="s">
        <v>352</v>
      </c>
      <c r="K193" t="s">
        <v>355</v>
      </c>
    </row>
    <row r="194" spans="1:11" x14ac:dyDescent="0.45">
      <c r="A194" s="2">
        <f t="shared" si="2"/>
        <v>192</v>
      </c>
      <c r="B194" t="s">
        <v>181</v>
      </c>
      <c r="C194" t="s">
        <v>201</v>
      </c>
      <c r="D194" s="2" t="s">
        <v>308</v>
      </c>
      <c r="F194" s="3">
        <v>-0.2109375</v>
      </c>
      <c r="G194" s="3">
        <v>-1.8749999999999899E-2</v>
      </c>
      <c r="H194" s="4">
        <v>6</v>
      </c>
      <c r="I194" s="4">
        <v>3.375</v>
      </c>
      <c r="J194" t="s">
        <v>352</v>
      </c>
      <c r="K194" t="s">
        <v>355</v>
      </c>
    </row>
    <row r="195" spans="1:11" x14ac:dyDescent="0.45">
      <c r="A195" s="2">
        <f t="shared" si="2"/>
        <v>193</v>
      </c>
      <c r="B195" t="s">
        <v>181</v>
      </c>
      <c r="C195" t="s">
        <v>202</v>
      </c>
      <c r="D195" s="2" t="s">
        <v>308</v>
      </c>
      <c r="F195" s="3">
        <v>-1.8681088587872701E-3</v>
      </c>
      <c r="G195" s="3">
        <v>1.45213559590144E-3</v>
      </c>
      <c r="H195" s="4">
        <v>0.87583915586000005</v>
      </c>
      <c r="I195" s="4">
        <v>0.49265952517</v>
      </c>
      <c r="J195" t="s">
        <v>351</v>
      </c>
      <c r="K195" t="s">
        <v>362</v>
      </c>
    </row>
    <row r="196" spans="1:11" x14ac:dyDescent="0.45">
      <c r="A196" s="2">
        <f t="shared" si="2"/>
        <v>194</v>
      </c>
      <c r="B196" t="s">
        <v>181</v>
      </c>
      <c r="C196" t="s">
        <v>203</v>
      </c>
      <c r="D196" s="2" t="s">
        <v>308</v>
      </c>
      <c r="F196" s="3">
        <v>-0.248521008366511</v>
      </c>
      <c r="G196" s="3">
        <v>3.6650423737307002E-2</v>
      </c>
      <c r="H196" s="4">
        <v>6.9643507080999996</v>
      </c>
      <c r="I196" s="4">
        <v>3.9174472733000001</v>
      </c>
      <c r="J196" t="s">
        <v>352</v>
      </c>
      <c r="K196" t="s">
        <v>355</v>
      </c>
    </row>
    <row r="197" spans="1:11" ht="14.65" thickBot="1" x14ac:dyDescent="0.5">
      <c r="A197" s="9">
        <f t="shared" si="2"/>
        <v>195</v>
      </c>
      <c r="B197" s="6" t="s">
        <v>181</v>
      </c>
      <c r="C197" s="6" t="s">
        <v>204</v>
      </c>
      <c r="D197" s="5" t="s">
        <v>308</v>
      </c>
      <c r="E197" s="6"/>
      <c r="F197" s="7">
        <v>-0.109897735001431</v>
      </c>
      <c r="G197" s="7">
        <v>-4.35438144329897E-2</v>
      </c>
      <c r="H197" s="8">
        <v>5.7768613975000003</v>
      </c>
      <c r="I197" s="8">
        <v>3.2494845361000002</v>
      </c>
      <c r="J197" s="6" t="s">
        <v>352</v>
      </c>
      <c r="K197" s="6" t="s">
        <v>355</v>
      </c>
    </row>
    <row r="198" spans="1:11" x14ac:dyDescent="0.45">
      <c r="A198" s="9">
        <f t="shared" si="2"/>
        <v>196</v>
      </c>
      <c r="B198" t="s">
        <v>309</v>
      </c>
      <c r="C198" t="s">
        <v>245</v>
      </c>
      <c r="D198" s="2" t="s">
        <v>308</v>
      </c>
      <c r="F198" s="3">
        <v>-0.214285714285714</v>
      </c>
      <c r="G198" s="3">
        <v>-0.57756696428571397</v>
      </c>
      <c r="H198" s="4">
        <v>4.2857142857000001</v>
      </c>
      <c r="I198" s="4">
        <v>2.4107142857000001</v>
      </c>
      <c r="J198" t="s">
        <v>352</v>
      </c>
      <c r="K198" t="s">
        <v>355</v>
      </c>
    </row>
    <row r="199" spans="1:11" x14ac:dyDescent="0.45">
      <c r="A199" s="9">
        <f t="shared" si="2"/>
        <v>197</v>
      </c>
      <c r="B199" t="s">
        <v>309</v>
      </c>
      <c r="C199" t="s">
        <v>246</v>
      </c>
      <c r="D199" s="2" t="s">
        <v>308</v>
      </c>
      <c r="F199" s="3">
        <v>0</v>
      </c>
      <c r="G199" s="3">
        <v>0</v>
      </c>
      <c r="H199" s="4">
        <v>4</v>
      </c>
      <c r="I199" s="4">
        <v>2.25</v>
      </c>
      <c r="J199" t="s">
        <v>352</v>
      </c>
      <c r="K199" t="s">
        <v>355</v>
      </c>
    </row>
    <row r="200" spans="1:11" x14ac:dyDescent="0.45">
      <c r="A200" s="9">
        <f t="shared" si="2"/>
        <v>198</v>
      </c>
      <c r="B200" t="s">
        <v>309</v>
      </c>
      <c r="C200" t="s">
        <v>247</v>
      </c>
      <c r="D200" s="2" t="s">
        <v>308</v>
      </c>
      <c r="F200" s="3">
        <v>-0.19380004332237499</v>
      </c>
      <c r="G200" s="3">
        <v>1.8667670377751001E-2</v>
      </c>
      <c r="H200" s="4">
        <v>5.4524630516999997</v>
      </c>
      <c r="I200" s="4">
        <v>3.0670104666000002</v>
      </c>
      <c r="J200" t="s">
        <v>352</v>
      </c>
      <c r="K200" t="s">
        <v>355</v>
      </c>
    </row>
    <row r="201" spans="1:11" x14ac:dyDescent="0.45">
      <c r="A201" s="9">
        <f t="shared" si="2"/>
        <v>199</v>
      </c>
      <c r="B201" t="s">
        <v>309</v>
      </c>
      <c r="C201" t="s">
        <v>248</v>
      </c>
      <c r="D201" s="2" t="s">
        <v>308</v>
      </c>
      <c r="F201" s="3">
        <v>-0.114484592013889</v>
      </c>
      <c r="G201" s="3">
        <v>4.7308132875143504E-3</v>
      </c>
      <c r="H201" s="4">
        <v>4.1530355096999996</v>
      </c>
      <c r="I201" s="4">
        <v>2.3360824741999999</v>
      </c>
      <c r="J201" t="s">
        <v>352</v>
      </c>
      <c r="K201" t="s">
        <v>355</v>
      </c>
    </row>
    <row r="202" spans="1:11" x14ac:dyDescent="0.45">
      <c r="A202" s="9">
        <f t="shared" si="2"/>
        <v>200</v>
      </c>
      <c r="B202" t="s">
        <v>309</v>
      </c>
      <c r="C202" t="s">
        <v>249</v>
      </c>
      <c r="D202" s="2" t="s">
        <v>308</v>
      </c>
      <c r="F202" s="3">
        <v>7.5036966004140407E-2</v>
      </c>
      <c r="G202" s="3">
        <v>-2.21804600992744E-2</v>
      </c>
      <c r="H202" s="4">
        <v>3.9984726995000002</v>
      </c>
      <c r="I202" s="4">
        <v>2.2491408934999999</v>
      </c>
      <c r="J202" t="s">
        <v>352</v>
      </c>
      <c r="K202" t="s">
        <v>355</v>
      </c>
    </row>
    <row r="203" spans="1:11" x14ac:dyDescent="0.45">
      <c r="A203" s="9">
        <f t="shared" si="2"/>
        <v>201</v>
      </c>
      <c r="B203" t="s">
        <v>309</v>
      </c>
      <c r="C203" t="s">
        <v>250</v>
      </c>
      <c r="D203" s="2" t="s">
        <v>308</v>
      </c>
      <c r="F203" s="3">
        <v>-1.2357903888167401E-2</v>
      </c>
      <c r="G203" s="3">
        <v>-4.4905939034107098E-2</v>
      </c>
      <c r="H203" s="4">
        <v>4.1758745694000003</v>
      </c>
      <c r="I203" s="4">
        <v>2.3489294453</v>
      </c>
      <c r="J203" t="s">
        <v>352</v>
      </c>
      <c r="K203" t="s">
        <v>355</v>
      </c>
    </row>
    <row r="204" spans="1:11" x14ac:dyDescent="0.45">
      <c r="A204" s="9">
        <f t="shared" si="2"/>
        <v>202</v>
      </c>
      <c r="B204" t="s">
        <v>309</v>
      </c>
      <c r="C204" t="s">
        <v>251</v>
      </c>
      <c r="D204" s="2" t="s">
        <v>308</v>
      </c>
      <c r="F204" s="3">
        <v>0</v>
      </c>
      <c r="G204" s="3">
        <v>0</v>
      </c>
      <c r="H204" s="4">
        <v>3.9987128208999998</v>
      </c>
      <c r="I204" s="4">
        <v>2.2492759617</v>
      </c>
      <c r="J204" t="s">
        <v>352</v>
      </c>
      <c r="K204" t="s">
        <v>355</v>
      </c>
    </row>
    <row r="205" spans="1:11" ht="14.65" thickBot="1" x14ac:dyDescent="0.5">
      <c r="A205" s="9">
        <f t="shared" si="2"/>
        <v>203</v>
      </c>
      <c r="B205" s="6" t="s">
        <v>309</v>
      </c>
      <c r="C205" s="6" t="s">
        <v>252</v>
      </c>
      <c r="D205" s="5" t="s">
        <v>308</v>
      </c>
      <c r="E205" s="6"/>
      <c r="F205" s="7">
        <v>0</v>
      </c>
      <c r="G205" s="7">
        <v>0</v>
      </c>
      <c r="H205" s="8">
        <v>6.5975395538999999</v>
      </c>
      <c r="I205" s="8">
        <v>3.711115999</v>
      </c>
      <c r="J205" s="6" t="s">
        <v>352</v>
      </c>
      <c r="K205" s="6" t="s">
        <v>355</v>
      </c>
    </row>
    <row r="206" spans="1:11" x14ac:dyDescent="0.45">
      <c r="A206" s="9">
        <f t="shared" si="2"/>
        <v>204</v>
      </c>
      <c r="B206" t="s">
        <v>205</v>
      </c>
      <c r="C206" t="s">
        <v>319</v>
      </c>
      <c r="D206" s="2" t="s">
        <v>308</v>
      </c>
      <c r="F206" s="3"/>
      <c r="G206" s="3"/>
      <c r="H206" s="4"/>
      <c r="I206" s="4"/>
      <c r="J206" t="s">
        <v>353</v>
      </c>
      <c r="K206" t="s">
        <v>356</v>
      </c>
    </row>
    <row r="207" spans="1:11" x14ac:dyDescent="0.45">
      <c r="A207" s="9">
        <f t="shared" si="2"/>
        <v>205</v>
      </c>
      <c r="B207" t="s">
        <v>205</v>
      </c>
      <c r="C207" t="s">
        <v>320</v>
      </c>
      <c r="D207" s="2" t="s">
        <v>308</v>
      </c>
      <c r="F207" s="3"/>
      <c r="G207" s="3"/>
      <c r="H207" s="4"/>
      <c r="I207" s="4"/>
      <c r="J207" t="s">
        <v>353</v>
      </c>
      <c r="K207" t="s">
        <v>356</v>
      </c>
    </row>
    <row r="208" spans="1:11" x14ac:dyDescent="0.45">
      <c r="A208" s="2">
        <f t="shared" si="2"/>
        <v>206</v>
      </c>
      <c r="B208" t="s">
        <v>205</v>
      </c>
      <c r="C208" t="s">
        <v>206</v>
      </c>
      <c r="D208" s="2" t="s">
        <v>308</v>
      </c>
      <c r="E208" t="s">
        <v>359</v>
      </c>
      <c r="F208" s="3">
        <v>0</v>
      </c>
      <c r="G208" s="3">
        <v>0</v>
      </c>
      <c r="H208" s="4">
        <v>20</v>
      </c>
      <c r="I208" s="4">
        <v>11.25</v>
      </c>
      <c r="J208" t="s">
        <v>351</v>
      </c>
      <c r="K208" t="s">
        <v>362</v>
      </c>
    </row>
    <row r="209" spans="1:11" x14ac:dyDescent="0.45">
      <c r="A209" s="2">
        <f t="shared" si="2"/>
        <v>207</v>
      </c>
      <c r="B209" t="s">
        <v>205</v>
      </c>
      <c r="C209" t="s">
        <v>321</v>
      </c>
      <c r="D209" s="2" t="s">
        <v>308</v>
      </c>
      <c r="F209" s="3"/>
      <c r="G209" s="3"/>
      <c r="H209" s="4"/>
      <c r="I209" s="4"/>
      <c r="J209" t="s">
        <v>353</v>
      </c>
      <c r="K209" t="s">
        <v>356</v>
      </c>
    </row>
    <row r="210" spans="1:11" x14ac:dyDescent="0.45">
      <c r="A210" s="2">
        <f t="shared" ref="A210:A268" si="3">A209+1</f>
        <v>208</v>
      </c>
      <c r="B210" t="s">
        <v>205</v>
      </c>
      <c r="C210" t="s">
        <v>322</v>
      </c>
      <c r="D210" s="2" t="s">
        <v>308</v>
      </c>
      <c r="F210" s="3"/>
      <c r="G210" s="3"/>
      <c r="H210" s="4"/>
      <c r="I210" s="4"/>
      <c r="J210" t="s">
        <v>353</v>
      </c>
      <c r="K210" t="s">
        <v>356</v>
      </c>
    </row>
    <row r="211" spans="1:11" x14ac:dyDescent="0.45">
      <c r="A211" s="2">
        <f t="shared" si="3"/>
        <v>209</v>
      </c>
      <c r="B211" t="s">
        <v>205</v>
      </c>
      <c r="C211" t="s">
        <v>323</v>
      </c>
      <c r="D211" s="2" t="s">
        <v>308</v>
      </c>
      <c r="F211" s="3"/>
      <c r="G211" s="3"/>
      <c r="H211" s="4"/>
      <c r="I211" s="4"/>
      <c r="J211" t="s">
        <v>353</v>
      </c>
      <c r="K211" t="s">
        <v>356</v>
      </c>
    </row>
    <row r="212" spans="1:11" x14ac:dyDescent="0.45">
      <c r="A212" s="2">
        <f t="shared" si="3"/>
        <v>210</v>
      </c>
      <c r="B212" t="s">
        <v>205</v>
      </c>
      <c r="C212" t="s">
        <v>207</v>
      </c>
      <c r="D212" s="2" t="s">
        <v>308</v>
      </c>
      <c r="E212" t="s">
        <v>347</v>
      </c>
      <c r="F212" s="3">
        <v>0</v>
      </c>
      <c r="G212" s="3">
        <v>0</v>
      </c>
      <c r="H212" s="4">
        <v>96</v>
      </c>
      <c r="I212" s="4">
        <v>54</v>
      </c>
      <c r="J212" t="s">
        <v>350</v>
      </c>
      <c r="K212" t="s">
        <v>358</v>
      </c>
    </row>
    <row r="213" spans="1:11" ht="14.65" thickBot="1" x14ac:dyDescent="0.5">
      <c r="A213" s="9">
        <f t="shared" si="3"/>
        <v>211</v>
      </c>
      <c r="B213" s="6" t="s">
        <v>205</v>
      </c>
      <c r="C213" s="6" t="s">
        <v>208</v>
      </c>
      <c r="D213" s="5" t="s">
        <v>308</v>
      </c>
      <c r="E213" s="6"/>
      <c r="F213" s="7">
        <v>-0.55139768622793595</v>
      </c>
      <c r="G213" s="7">
        <v>2.63177386339149E-2</v>
      </c>
      <c r="H213" s="8">
        <v>2.2207857502000001</v>
      </c>
      <c r="I213" s="8">
        <v>1.2491919844999999</v>
      </c>
      <c r="J213" s="6" t="s">
        <v>352</v>
      </c>
      <c r="K213" s="6" t="s">
        <v>355</v>
      </c>
    </row>
    <row r="214" spans="1:11" x14ac:dyDescent="0.45">
      <c r="A214" s="2">
        <f t="shared" si="3"/>
        <v>212</v>
      </c>
      <c r="B214" t="s">
        <v>209</v>
      </c>
      <c r="C214" t="s">
        <v>210</v>
      </c>
      <c r="D214" s="2" t="s">
        <v>308</v>
      </c>
      <c r="F214" s="3">
        <v>0</v>
      </c>
      <c r="G214" s="3">
        <v>0</v>
      </c>
      <c r="H214" s="4">
        <v>6</v>
      </c>
      <c r="I214" s="4">
        <v>3.375</v>
      </c>
      <c r="J214" t="s">
        <v>352</v>
      </c>
      <c r="K214" t="s">
        <v>355</v>
      </c>
    </row>
    <row r="215" spans="1:11" x14ac:dyDescent="0.45">
      <c r="A215" s="2">
        <f t="shared" si="3"/>
        <v>213</v>
      </c>
      <c r="B215" t="s">
        <v>209</v>
      </c>
      <c r="C215" t="s">
        <v>211</v>
      </c>
      <c r="D215" s="2" t="s">
        <v>308</v>
      </c>
      <c r="F215" s="3">
        <v>0</v>
      </c>
      <c r="G215" s="3">
        <v>0</v>
      </c>
      <c r="H215" s="4">
        <v>6</v>
      </c>
      <c r="I215" s="4">
        <v>3.375</v>
      </c>
      <c r="J215" t="s">
        <v>352</v>
      </c>
      <c r="K215" t="s">
        <v>355</v>
      </c>
    </row>
    <row r="216" spans="1:11" x14ac:dyDescent="0.45">
      <c r="A216" s="2">
        <f t="shared" si="3"/>
        <v>214</v>
      </c>
      <c r="B216" t="s">
        <v>209</v>
      </c>
      <c r="C216" t="s">
        <v>212</v>
      </c>
      <c r="D216" s="2" t="s">
        <v>308</v>
      </c>
      <c r="F216" s="3">
        <v>0</v>
      </c>
      <c r="G216" s="3">
        <v>0</v>
      </c>
      <c r="H216" s="4">
        <v>6</v>
      </c>
      <c r="I216" s="4">
        <v>3.375</v>
      </c>
      <c r="J216" t="s">
        <v>352</v>
      </c>
      <c r="K216" t="s">
        <v>355</v>
      </c>
    </row>
    <row r="217" spans="1:11" ht="14.65" thickBot="1" x14ac:dyDescent="0.5">
      <c r="A217" s="9">
        <f t="shared" si="3"/>
        <v>215</v>
      </c>
      <c r="B217" s="6" t="s">
        <v>209</v>
      </c>
      <c r="C217" s="6" t="s">
        <v>213</v>
      </c>
      <c r="D217" s="5" t="s">
        <v>308</v>
      </c>
      <c r="E217" s="6"/>
      <c r="F217" s="7">
        <v>-0.24257812499999901</v>
      </c>
      <c r="G217" s="7">
        <v>-3.5156249999999901E-3</v>
      </c>
      <c r="H217" s="8">
        <v>3</v>
      </c>
      <c r="I217" s="8">
        <v>1.6875</v>
      </c>
      <c r="J217" s="6" t="s">
        <v>351</v>
      </c>
      <c r="K217" s="6" t="s">
        <v>362</v>
      </c>
    </row>
    <row r="218" spans="1:11" x14ac:dyDescent="0.45">
      <c r="A218" s="2">
        <f t="shared" si="3"/>
        <v>216</v>
      </c>
      <c r="B218" t="s">
        <v>214</v>
      </c>
      <c r="C218" t="s">
        <v>215</v>
      </c>
      <c r="D218" s="2" t="s">
        <v>308</v>
      </c>
      <c r="F218" s="3">
        <v>-0.37968749999999901</v>
      </c>
      <c r="G218" s="3">
        <v>-1.7578125E-2</v>
      </c>
      <c r="H218" s="4">
        <v>3</v>
      </c>
      <c r="I218" s="4">
        <v>1.6875</v>
      </c>
      <c r="J218" t="s">
        <v>352</v>
      </c>
      <c r="K218" t="s">
        <v>355</v>
      </c>
    </row>
    <row r="219" spans="1:11" ht="14.65" thickBot="1" x14ac:dyDescent="0.5">
      <c r="A219" s="2">
        <f t="shared" si="3"/>
        <v>217</v>
      </c>
      <c r="B219" t="s">
        <v>214</v>
      </c>
      <c r="C219" t="s">
        <v>216</v>
      </c>
      <c r="D219" s="2" t="s">
        <v>308</v>
      </c>
      <c r="E219" s="35" t="s">
        <v>363</v>
      </c>
      <c r="F219" s="7">
        <v>-0.24257812499999901</v>
      </c>
      <c r="G219" s="7">
        <v>-3.5156249999999901E-3</v>
      </c>
      <c r="H219" s="4">
        <v>3</v>
      </c>
      <c r="I219" s="4">
        <v>1.6875</v>
      </c>
      <c r="J219" t="s">
        <v>351</v>
      </c>
      <c r="K219" t="s">
        <v>362</v>
      </c>
    </row>
    <row r="220" spans="1:11" x14ac:dyDescent="0.45">
      <c r="A220" s="2">
        <f t="shared" si="3"/>
        <v>218</v>
      </c>
      <c r="B220" t="s">
        <v>214</v>
      </c>
      <c r="C220" t="s">
        <v>217</v>
      </c>
      <c r="D220" s="2" t="s">
        <v>308</v>
      </c>
      <c r="E220" t="s">
        <v>360</v>
      </c>
      <c r="F220" s="3">
        <v>0</v>
      </c>
      <c r="G220" s="3">
        <v>0</v>
      </c>
      <c r="H220" s="4">
        <v>3</v>
      </c>
      <c r="I220" s="4">
        <v>1.6875</v>
      </c>
      <c r="J220" t="s">
        <v>351</v>
      </c>
      <c r="K220" t="s">
        <v>362</v>
      </c>
    </row>
    <row r="221" spans="1:11" ht="14.65" thickBot="1" x14ac:dyDescent="0.5">
      <c r="A221" s="9">
        <f t="shared" si="3"/>
        <v>219</v>
      </c>
      <c r="B221" s="6" t="s">
        <v>214</v>
      </c>
      <c r="C221" s="6" t="s">
        <v>218</v>
      </c>
      <c r="D221" s="5" t="s">
        <v>308</v>
      </c>
      <c r="E221" s="6"/>
      <c r="F221" s="7">
        <v>-0.16662704558133701</v>
      </c>
      <c r="G221" s="7">
        <v>6.5052130349130199E-19</v>
      </c>
      <c r="H221" s="8">
        <v>4.0238269362999999</v>
      </c>
      <c r="I221" s="8">
        <v>2.2634026516999999</v>
      </c>
      <c r="J221" s="6" t="s">
        <v>352</v>
      </c>
      <c r="K221" s="6" t="s">
        <v>355</v>
      </c>
    </row>
    <row r="222" spans="1:11" x14ac:dyDescent="0.45">
      <c r="A222" s="2">
        <f t="shared" si="3"/>
        <v>220</v>
      </c>
      <c r="B222" t="s">
        <v>219</v>
      </c>
      <c r="C222" t="s">
        <v>220</v>
      </c>
      <c r="D222" s="2" t="s">
        <v>308</v>
      </c>
      <c r="F222" s="3">
        <v>-8.8863350609925396E-2</v>
      </c>
      <c r="G222" s="3">
        <v>-2.49544228749192E-2</v>
      </c>
      <c r="H222" s="4">
        <v>4.1707022676000003</v>
      </c>
      <c r="I222" s="4">
        <v>2.3460200255000001</v>
      </c>
      <c r="J222" t="s">
        <v>352</v>
      </c>
      <c r="K222" t="s">
        <v>355</v>
      </c>
    </row>
    <row r="223" spans="1:11" x14ac:dyDescent="0.45">
      <c r="A223" s="2">
        <f t="shared" si="3"/>
        <v>221</v>
      </c>
      <c r="B223" t="s">
        <v>219</v>
      </c>
      <c r="C223" t="s">
        <v>221</v>
      </c>
      <c r="D223" s="2" t="s">
        <v>308</v>
      </c>
      <c r="F223" s="3">
        <v>0</v>
      </c>
      <c r="G223" s="3">
        <v>0</v>
      </c>
      <c r="H223" s="4">
        <v>15</v>
      </c>
      <c r="I223" s="4">
        <v>8.4375</v>
      </c>
      <c r="J223" t="s">
        <v>352</v>
      </c>
      <c r="K223" t="s">
        <v>355</v>
      </c>
    </row>
    <row r="224" spans="1:11" x14ac:dyDescent="0.45">
      <c r="A224" s="2">
        <f t="shared" si="3"/>
        <v>222</v>
      </c>
      <c r="B224" t="s">
        <v>219</v>
      </c>
      <c r="C224" t="s">
        <v>222</v>
      </c>
      <c r="D224" s="2" t="s">
        <v>308</v>
      </c>
      <c r="F224" s="3">
        <v>0</v>
      </c>
      <c r="G224" s="3">
        <v>0</v>
      </c>
      <c r="H224" s="4">
        <v>15</v>
      </c>
      <c r="I224" s="4">
        <v>8.4375</v>
      </c>
      <c r="J224" t="s">
        <v>352</v>
      </c>
      <c r="K224" t="s">
        <v>355</v>
      </c>
    </row>
    <row r="225" spans="1:11" x14ac:dyDescent="0.45">
      <c r="A225" s="2">
        <f t="shared" si="3"/>
        <v>223</v>
      </c>
      <c r="B225" t="s">
        <v>219</v>
      </c>
      <c r="C225" t="s">
        <v>223</v>
      </c>
      <c r="D225" s="2" t="s">
        <v>308</v>
      </c>
      <c r="F225" s="3">
        <v>0</v>
      </c>
      <c r="G225" s="3">
        <v>0</v>
      </c>
      <c r="H225" s="4">
        <v>15</v>
      </c>
      <c r="I225" s="4">
        <v>8.4375</v>
      </c>
      <c r="J225" t="s">
        <v>352</v>
      </c>
      <c r="K225" t="s">
        <v>355</v>
      </c>
    </row>
    <row r="226" spans="1:11" x14ac:dyDescent="0.45">
      <c r="A226" s="2">
        <f t="shared" si="3"/>
        <v>224</v>
      </c>
      <c r="B226" t="s">
        <v>219</v>
      </c>
      <c r="C226" t="s">
        <v>224</v>
      </c>
      <c r="D226" s="2" t="s">
        <v>308</v>
      </c>
      <c r="F226" s="3">
        <v>0</v>
      </c>
      <c r="G226" s="3">
        <v>0</v>
      </c>
      <c r="H226" s="4">
        <v>3.75</v>
      </c>
      <c r="I226" s="4">
        <v>2.109375</v>
      </c>
      <c r="J226" t="s">
        <v>352</v>
      </c>
      <c r="K226" t="s">
        <v>355</v>
      </c>
    </row>
    <row r="227" spans="1:11" x14ac:dyDescent="0.45">
      <c r="A227" s="2">
        <f t="shared" si="3"/>
        <v>225</v>
      </c>
      <c r="B227" t="s">
        <v>219</v>
      </c>
      <c r="C227" t="s">
        <v>225</v>
      </c>
      <c r="D227" s="2" t="s">
        <v>308</v>
      </c>
      <c r="F227" s="3">
        <v>0</v>
      </c>
      <c r="G227" s="3">
        <v>0</v>
      </c>
      <c r="H227" s="4">
        <v>3.75</v>
      </c>
      <c r="I227" s="4">
        <v>2.109375</v>
      </c>
      <c r="J227" t="s">
        <v>352</v>
      </c>
      <c r="K227" t="s">
        <v>355</v>
      </c>
    </row>
    <row r="228" spans="1:11" x14ac:dyDescent="0.45">
      <c r="A228" s="2">
        <f t="shared" si="3"/>
        <v>226</v>
      </c>
      <c r="B228" t="s">
        <v>219</v>
      </c>
      <c r="C228" t="s">
        <v>226</v>
      </c>
      <c r="D228" s="2" t="s">
        <v>308</v>
      </c>
      <c r="F228" s="3">
        <v>-0.251953125</v>
      </c>
      <c r="G228" s="3">
        <v>-8.7890625E-3</v>
      </c>
      <c r="H228" s="4">
        <v>3.75</v>
      </c>
      <c r="I228" s="4">
        <v>2.109375</v>
      </c>
      <c r="J228" t="s">
        <v>352</v>
      </c>
      <c r="K228" t="s">
        <v>355</v>
      </c>
    </row>
    <row r="229" spans="1:11" x14ac:dyDescent="0.45">
      <c r="A229" s="2">
        <f t="shared" si="3"/>
        <v>227</v>
      </c>
      <c r="B229" t="s">
        <v>219</v>
      </c>
      <c r="C229" t="s">
        <v>227</v>
      </c>
      <c r="D229" s="2" t="s">
        <v>308</v>
      </c>
      <c r="E229" t="s">
        <v>348</v>
      </c>
      <c r="F229" s="3">
        <v>-0.15487041477869101</v>
      </c>
      <c r="G229" s="3">
        <v>-1.36663693622268E-2</v>
      </c>
      <c r="H229" s="4">
        <v>4.0779891939999997</v>
      </c>
      <c r="I229" s="4">
        <v>2.2938689218000001</v>
      </c>
      <c r="J229" t="s">
        <v>352</v>
      </c>
      <c r="K229" t="s">
        <v>355</v>
      </c>
    </row>
    <row r="230" spans="1:11" x14ac:dyDescent="0.45">
      <c r="A230" s="2">
        <f t="shared" si="3"/>
        <v>228</v>
      </c>
      <c r="B230" t="s">
        <v>219</v>
      </c>
      <c r="C230" t="s">
        <v>228</v>
      </c>
      <c r="D230" s="2" t="s">
        <v>308</v>
      </c>
      <c r="F230" s="3">
        <v>-0.1787109375</v>
      </c>
      <c r="G230" s="3">
        <v>1.46484375E-3</v>
      </c>
      <c r="H230" s="4">
        <v>3.75</v>
      </c>
      <c r="I230" s="4">
        <v>2.109375</v>
      </c>
      <c r="J230" t="s">
        <v>352</v>
      </c>
      <c r="K230" t="s">
        <v>355</v>
      </c>
    </row>
    <row r="231" spans="1:11" ht="14.65" thickBot="1" x14ac:dyDescent="0.5">
      <c r="A231" s="9">
        <f t="shared" si="3"/>
        <v>229</v>
      </c>
      <c r="B231" s="6" t="s">
        <v>219</v>
      </c>
      <c r="C231" s="6" t="s">
        <v>229</v>
      </c>
      <c r="D231" s="5" t="s">
        <v>308</v>
      </c>
      <c r="E231" s="6"/>
      <c r="F231" s="7">
        <v>-0.34130859375</v>
      </c>
      <c r="G231" s="7">
        <v>-1.46484375E-3</v>
      </c>
      <c r="H231" s="8">
        <v>15</v>
      </c>
      <c r="I231" s="8">
        <v>8.4375</v>
      </c>
      <c r="J231" s="6" t="s">
        <v>352</v>
      </c>
      <c r="K231" s="6" t="s">
        <v>355</v>
      </c>
    </row>
    <row r="232" spans="1:11" x14ac:dyDescent="0.45">
      <c r="A232" s="2">
        <f t="shared" si="3"/>
        <v>230</v>
      </c>
      <c r="B232" t="s">
        <v>230</v>
      </c>
      <c r="C232" t="s">
        <v>231</v>
      </c>
      <c r="D232" s="2" t="s">
        <v>308</v>
      </c>
      <c r="F232" s="3">
        <v>-0.18535125895255999</v>
      </c>
      <c r="G232" s="3">
        <v>1.5132638679150301E-2</v>
      </c>
      <c r="H232" s="4">
        <v>2.9396959630000001</v>
      </c>
      <c r="I232" s="4">
        <v>1.6535789792</v>
      </c>
      <c r="J232" t="s">
        <v>352</v>
      </c>
      <c r="K232" t="s">
        <v>355</v>
      </c>
    </row>
    <row r="233" spans="1:11" x14ac:dyDescent="0.45">
      <c r="A233" s="2">
        <f t="shared" si="3"/>
        <v>231</v>
      </c>
      <c r="B233" t="s">
        <v>230</v>
      </c>
      <c r="C233" t="s">
        <v>232</v>
      </c>
      <c r="D233" s="2" t="s">
        <v>308</v>
      </c>
      <c r="F233" s="3">
        <v>0</v>
      </c>
      <c r="G233" s="3">
        <v>0</v>
      </c>
      <c r="H233" s="4">
        <v>22.973967099999999</v>
      </c>
      <c r="I233" s="4">
        <v>12.922856493999999</v>
      </c>
      <c r="J233" t="s">
        <v>352</v>
      </c>
      <c r="K233" t="s">
        <v>355</v>
      </c>
    </row>
    <row r="234" spans="1:11" x14ac:dyDescent="0.45">
      <c r="A234" s="2">
        <f t="shared" si="3"/>
        <v>232</v>
      </c>
      <c r="B234" t="s">
        <v>230</v>
      </c>
      <c r="C234" t="s">
        <v>233</v>
      </c>
      <c r="D234" s="2" t="s">
        <v>308</v>
      </c>
      <c r="F234" s="3">
        <v>0</v>
      </c>
      <c r="G234" s="3">
        <v>0</v>
      </c>
      <c r="H234" s="4">
        <v>3.2645646124000001</v>
      </c>
      <c r="I234" s="4">
        <v>1.8363175945000001</v>
      </c>
      <c r="J234" t="s">
        <v>352</v>
      </c>
      <c r="K234" t="s">
        <v>355</v>
      </c>
    </row>
    <row r="235" spans="1:11" x14ac:dyDescent="0.45">
      <c r="A235" s="2">
        <f t="shared" si="3"/>
        <v>233</v>
      </c>
      <c r="B235" t="s">
        <v>230</v>
      </c>
      <c r="C235" t="s">
        <v>234</v>
      </c>
      <c r="D235" s="2" t="s">
        <v>308</v>
      </c>
      <c r="F235" s="3">
        <v>-0.16611516952966299</v>
      </c>
      <c r="G235" s="3">
        <v>6.6816265541818395E-2</v>
      </c>
      <c r="H235" s="4">
        <v>5.6568542495000003</v>
      </c>
      <c r="I235" s="4">
        <v>3.1819805152999998</v>
      </c>
      <c r="J235" t="s">
        <v>352</v>
      </c>
      <c r="K235" t="s">
        <v>355</v>
      </c>
    </row>
    <row r="236" spans="1:11" x14ac:dyDescent="0.45">
      <c r="A236" s="2">
        <f t="shared" si="3"/>
        <v>234</v>
      </c>
      <c r="B236" t="s">
        <v>230</v>
      </c>
      <c r="C236" t="s">
        <v>235</v>
      </c>
      <c r="D236" s="2" t="s">
        <v>308</v>
      </c>
      <c r="F236" s="3">
        <v>0.6</v>
      </c>
      <c r="G236" s="3">
        <v>0</v>
      </c>
      <c r="H236" s="4">
        <v>4.8735143781000003</v>
      </c>
      <c r="I236" s="4">
        <v>2.7413518376999999</v>
      </c>
      <c r="J236" t="s">
        <v>352</v>
      </c>
      <c r="K236" t="s">
        <v>355</v>
      </c>
    </row>
    <row r="237" spans="1:11" x14ac:dyDescent="0.45">
      <c r="A237" s="2">
        <f t="shared" si="3"/>
        <v>235</v>
      </c>
      <c r="B237" t="s">
        <v>230</v>
      </c>
      <c r="C237" t="s">
        <v>236</v>
      </c>
      <c r="D237" s="2" t="s">
        <v>308</v>
      </c>
      <c r="F237" s="3">
        <v>-0.19383352385890201</v>
      </c>
      <c r="G237" s="3">
        <v>3.4005881378754801E-3</v>
      </c>
      <c r="H237" s="4">
        <v>4.3527528164999998</v>
      </c>
      <c r="I237" s="4">
        <v>2.4484234592999998</v>
      </c>
      <c r="J237" t="s">
        <v>352</v>
      </c>
      <c r="K237" t="s">
        <v>355</v>
      </c>
    </row>
    <row r="238" spans="1:11" x14ac:dyDescent="0.45">
      <c r="A238" s="2">
        <f t="shared" si="3"/>
        <v>236</v>
      </c>
      <c r="B238" t="s">
        <v>230</v>
      </c>
      <c r="C238" t="s">
        <v>237</v>
      </c>
      <c r="D238" s="2" t="s">
        <v>308</v>
      </c>
      <c r="F238" s="3"/>
      <c r="G238" s="3"/>
      <c r="H238" s="4"/>
      <c r="I238" s="4"/>
      <c r="J238" t="s">
        <v>353</v>
      </c>
      <c r="K238" t="s">
        <v>356</v>
      </c>
    </row>
    <row r="239" spans="1:11" ht="14.65" thickBot="1" x14ac:dyDescent="0.5">
      <c r="A239" s="9">
        <f t="shared" si="3"/>
        <v>237</v>
      </c>
      <c r="B239" s="6" t="s">
        <v>230</v>
      </c>
      <c r="C239" s="6" t="s">
        <v>238</v>
      </c>
      <c r="D239" s="5" t="s">
        <v>308</v>
      </c>
      <c r="E239" s="6"/>
      <c r="F239" s="7">
        <v>0</v>
      </c>
      <c r="G239" s="7">
        <v>0</v>
      </c>
      <c r="H239" s="8">
        <v>8</v>
      </c>
      <c r="I239" s="8">
        <v>4.5</v>
      </c>
      <c r="J239" s="6" t="s">
        <v>352</v>
      </c>
      <c r="K239" s="6" t="s">
        <v>355</v>
      </c>
    </row>
    <row r="240" spans="1:11" x14ac:dyDescent="0.45">
      <c r="A240" s="2">
        <f t="shared" si="3"/>
        <v>238</v>
      </c>
      <c r="B240" t="s">
        <v>310</v>
      </c>
      <c r="C240" t="s">
        <v>239</v>
      </c>
      <c r="D240" s="2" t="s">
        <v>308</v>
      </c>
      <c r="F240" s="3">
        <v>-0.57070312499999998</v>
      </c>
      <c r="G240" s="3">
        <v>2.6953124999999901E-2</v>
      </c>
      <c r="H240" s="4">
        <v>3.6934332400000001</v>
      </c>
      <c r="I240" s="4">
        <v>2.0775561974999999</v>
      </c>
      <c r="J240" t="s">
        <v>352</v>
      </c>
      <c r="K240" t="s">
        <v>355</v>
      </c>
    </row>
    <row r="241" spans="1:11" x14ac:dyDescent="0.45">
      <c r="A241" s="2">
        <f t="shared" si="3"/>
        <v>239</v>
      </c>
      <c r="B241" t="s">
        <v>310</v>
      </c>
      <c r="C241" t="s">
        <v>240</v>
      </c>
      <c r="D241" s="2" t="s">
        <v>308</v>
      </c>
      <c r="F241" s="3">
        <v>0</v>
      </c>
      <c r="G241" s="3">
        <v>0</v>
      </c>
      <c r="H241" s="4">
        <v>5</v>
      </c>
      <c r="I241" s="4">
        <v>2.8125</v>
      </c>
      <c r="J241" t="s">
        <v>352</v>
      </c>
      <c r="K241" t="s">
        <v>355</v>
      </c>
    </row>
    <row r="242" spans="1:11" x14ac:dyDescent="0.45">
      <c r="A242" s="2">
        <f t="shared" si="3"/>
        <v>240</v>
      </c>
      <c r="B242" t="s">
        <v>310</v>
      </c>
      <c r="C242" t="s">
        <v>317</v>
      </c>
      <c r="D242" s="2" t="s">
        <v>308</v>
      </c>
      <c r="F242" s="3">
        <v>0</v>
      </c>
      <c r="G242" s="3">
        <v>0</v>
      </c>
      <c r="H242" s="4">
        <v>2.4622888267</v>
      </c>
      <c r="I242" s="4">
        <v>1.3850374649999999</v>
      </c>
      <c r="J242" t="s">
        <v>352</v>
      </c>
      <c r="K242" t="s">
        <v>355</v>
      </c>
    </row>
    <row r="243" spans="1:11" x14ac:dyDescent="0.45">
      <c r="A243" s="2">
        <f t="shared" si="3"/>
        <v>241</v>
      </c>
      <c r="B243" t="s">
        <v>310</v>
      </c>
      <c r="C243" t="s">
        <v>318</v>
      </c>
      <c r="D243" s="2" t="s">
        <v>308</v>
      </c>
      <c r="F243" s="3">
        <v>0</v>
      </c>
      <c r="G243" s="3">
        <v>0</v>
      </c>
      <c r="H243" s="4">
        <v>4</v>
      </c>
      <c r="I243" s="4">
        <v>2.25</v>
      </c>
      <c r="J243" t="s">
        <v>352</v>
      </c>
      <c r="K243" t="s">
        <v>355</v>
      </c>
    </row>
    <row r="244" spans="1:11" x14ac:dyDescent="0.45">
      <c r="A244" s="2">
        <f t="shared" si="3"/>
        <v>242</v>
      </c>
      <c r="B244" t="s">
        <v>310</v>
      </c>
      <c r="C244" t="s">
        <v>241</v>
      </c>
      <c r="D244" s="2" t="s">
        <v>308</v>
      </c>
      <c r="F244" s="3">
        <v>0</v>
      </c>
      <c r="G244" s="3">
        <v>0</v>
      </c>
      <c r="H244" s="4">
        <v>4.3063061147999999</v>
      </c>
      <c r="I244" s="4">
        <v>2.4222971896000001</v>
      </c>
      <c r="J244" t="s">
        <v>352</v>
      </c>
      <c r="K244" t="s">
        <v>355</v>
      </c>
    </row>
    <row r="245" spans="1:11" x14ac:dyDescent="0.45">
      <c r="A245" s="2">
        <f t="shared" si="3"/>
        <v>243</v>
      </c>
      <c r="B245" t="s">
        <v>310</v>
      </c>
      <c r="C245" t="s">
        <v>242</v>
      </c>
      <c r="D245" s="2" t="s">
        <v>308</v>
      </c>
      <c r="F245" s="3">
        <v>-0.168898568184977</v>
      </c>
      <c r="G245" s="3">
        <v>2.1546730920717301E-2</v>
      </c>
      <c r="H245" s="4">
        <v>3.5586858811000002</v>
      </c>
      <c r="I245" s="4">
        <v>2.0017608080999998</v>
      </c>
      <c r="J245" t="s">
        <v>352</v>
      </c>
      <c r="K245" t="s">
        <v>355</v>
      </c>
    </row>
    <row r="246" spans="1:11" x14ac:dyDescent="0.45">
      <c r="A246" s="2">
        <f t="shared" si="3"/>
        <v>244</v>
      </c>
      <c r="B246" t="s">
        <v>310</v>
      </c>
      <c r="C246" t="s">
        <v>243</v>
      </c>
      <c r="D246" s="2" t="s">
        <v>308</v>
      </c>
      <c r="F246" s="3">
        <v>0</v>
      </c>
      <c r="G246" s="3">
        <v>0</v>
      </c>
      <c r="H246" s="4">
        <v>32</v>
      </c>
      <c r="I246" s="4">
        <v>18</v>
      </c>
      <c r="J246" t="s">
        <v>352</v>
      </c>
      <c r="K246" t="s">
        <v>355</v>
      </c>
    </row>
    <row r="247" spans="1:11" ht="14.65" thickBot="1" x14ac:dyDescent="0.5">
      <c r="A247" s="2">
        <f t="shared" si="3"/>
        <v>245</v>
      </c>
      <c r="B247" s="6" t="s">
        <v>310</v>
      </c>
      <c r="C247" s="6" t="s">
        <v>244</v>
      </c>
      <c r="D247" s="5" t="s">
        <v>308</v>
      </c>
      <c r="E247" s="6"/>
      <c r="F247" s="7">
        <v>0</v>
      </c>
      <c r="G247" s="7">
        <v>0</v>
      </c>
      <c r="H247" s="8">
        <v>4</v>
      </c>
      <c r="I247" s="8">
        <v>2.25</v>
      </c>
      <c r="J247" s="6" t="s">
        <v>352</v>
      </c>
      <c r="K247" s="6" t="s">
        <v>355</v>
      </c>
    </row>
    <row r="248" spans="1:11" x14ac:dyDescent="0.45">
      <c r="A248" s="2">
        <f t="shared" si="3"/>
        <v>246</v>
      </c>
      <c r="B248" t="s">
        <v>253</v>
      </c>
      <c r="C248" t="s">
        <v>324</v>
      </c>
      <c r="D248" s="2" t="s">
        <v>308</v>
      </c>
      <c r="F248" s="3">
        <v>0</v>
      </c>
      <c r="G248" s="3">
        <v>0</v>
      </c>
      <c r="H248" s="4">
        <v>80</v>
      </c>
      <c r="I248" s="4">
        <v>45</v>
      </c>
      <c r="J248" t="s">
        <v>352</v>
      </c>
      <c r="K248" t="s">
        <v>355</v>
      </c>
    </row>
    <row r="249" spans="1:11" x14ac:dyDescent="0.45">
      <c r="A249" s="2">
        <f t="shared" si="3"/>
        <v>247</v>
      </c>
      <c r="B249" t="s">
        <v>253</v>
      </c>
      <c r="C249" t="s">
        <v>325</v>
      </c>
      <c r="D249" s="2" t="s">
        <v>308</v>
      </c>
      <c r="F249" s="3">
        <v>-2.3551547802465</v>
      </c>
      <c r="G249" s="3">
        <v>1.49625973078175E-2</v>
      </c>
      <c r="H249" s="4">
        <v>7.3868664801000001</v>
      </c>
      <c r="I249" s="4">
        <v>4.1551123949999997</v>
      </c>
      <c r="J249" t="s">
        <v>352</v>
      </c>
      <c r="K249" t="s">
        <v>355</v>
      </c>
    </row>
    <row r="250" spans="1:11" x14ac:dyDescent="0.45">
      <c r="A250" s="2">
        <f t="shared" si="3"/>
        <v>248</v>
      </c>
      <c r="B250" t="s">
        <v>253</v>
      </c>
      <c r="C250" t="s">
        <v>326</v>
      </c>
      <c r="D250" s="2" t="s">
        <v>308</v>
      </c>
      <c r="F250" s="3">
        <v>0</v>
      </c>
      <c r="G250" s="3">
        <v>0</v>
      </c>
      <c r="H250" s="4">
        <v>5</v>
      </c>
      <c r="I250" s="4">
        <v>2.8125</v>
      </c>
      <c r="J250" t="s">
        <v>352</v>
      </c>
      <c r="K250" t="s">
        <v>355</v>
      </c>
    </row>
    <row r="251" spans="1:11" x14ac:dyDescent="0.45">
      <c r="A251" s="2">
        <f t="shared" si="3"/>
        <v>249</v>
      </c>
      <c r="B251" t="s">
        <v>253</v>
      </c>
      <c r="C251" t="s">
        <v>327</v>
      </c>
      <c r="D251" s="2" t="s">
        <v>308</v>
      </c>
      <c r="F251" s="3">
        <v>0</v>
      </c>
      <c r="G251" s="3">
        <v>0</v>
      </c>
      <c r="H251" s="4">
        <v>5</v>
      </c>
      <c r="I251" s="4">
        <v>2.8125</v>
      </c>
      <c r="J251" t="s">
        <v>352</v>
      </c>
      <c r="K251" t="s">
        <v>355</v>
      </c>
    </row>
    <row r="252" spans="1:11" x14ac:dyDescent="0.45">
      <c r="A252" s="2">
        <f t="shared" si="3"/>
        <v>250</v>
      </c>
      <c r="B252" t="s">
        <v>253</v>
      </c>
      <c r="C252" t="s">
        <v>328</v>
      </c>
      <c r="D252" s="2" t="s">
        <v>308</v>
      </c>
      <c r="F252" s="3">
        <v>0</v>
      </c>
      <c r="G252" s="3">
        <v>0</v>
      </c>
      <c r="H252" s="4">
        <v>5</v>
      </c>
      <c r="I252" s="4">
        <v>2.8125</v>
      </c>
      <c r="J252" t="s">
        <v>352</v>
      </c>
      <c r="K252" t="s">
        <v>355</v>
      </c>
    </row>
    <row r="253" spans="1:11" x14ac:dyDescent="0.45">
      <c r="A253" s="2">
        <f t="shared" si="3"/>
        <v>251</v>
      </c>
      <c r="B253" t="s">
        <v>253</v>
      </c>
      <c r="C253" t="s">
        <v>329</v>
      </c>
      <c r="D253" s="2" t="s">
        <v>308</v>
      </c>
      <c r="F253" s="3">
        <v>4.0254603399433702</v>
      </c>
      <c r="G253" s="3">
        <v>0.144673630783757</v>
      </c>
      <c r="H253" s="4">
        <v>12</v>
      </c>
      <c r="I253" s="4">
        <v>6.75</v>
      </c>
      <c r="J253" t="s">
        <v>352</v>
      </c>
      <c r="K253" t="s">
        <v>355</v>
      </c>
    </row>
    <row r="254" spans="1:11" x14ac:dyDescent="0.45">
      <c r="A254" s="2">
        <f t="shared" si="3"/>
        <v>252</v>
      </c>
      <c r="B254" t="s">
        <v>253</v>
      </c>
      <c r="C254" t="s">
        <v>330</v>
      </c>
      <c r="D254" s="2" t="s">
        <v>308</v>
      </c>
      <c r="F254" s="3">
        <v>-6.2910553801410293E-2</v>
      </c>
      <c r="G254" s="3">
        <v>-0.133920889728255</v>
      </c>
      <c r="H254" s="4">
        <v>3.008288742</v>
      </c>
      <c r="I254" s="4">
        <v>1.6921624174000001</v>
      </c>
      <c r="J254" t="s">
        <v>352</v>
      </c>
      <c r="K254" t="s">
        <v>355</v>
      </c>
    </row>
    <row r="255" spans="1:11" ht="14.65" thickBot="1" x14ac:dyDescent="0.5">
      <c r="A255" s="2">
        <f t="shared" si="3"/>
        <v>253</v>
      </c>
      <c r="B255" s="6" t="s">
        <v>253</v>
      </c>
      <c r="C255" t="s">
        <v>331</v>
      </c>
      <c r="D255" s="5" t="s">
        <v>308</v>
      </c>
      <c r="E255" s="6"/>
      <c r="F255" s="7">
        <v>9.1841731880125899E-2</v>
      </c>
      <c r="G255" s="7">
        <v>-0.17277720945686001</v>
      </c>
      <c r="H255" s="8">
        <v>1.8494037001999999</v>
      </c>
      <c r="I255" s="8">
        <v>1.0402895813999999</v>
      </c>
      <c r="J255" s="6" t="s">
        <v>352</v>
      </c>
      <c r="K255" s="6" t="s">
        <v>355</v>
      </c>
    </row>
    <row r="256" spans="1:11" x14ac:dyDescent="0.45">
      <c r="A256" s="2">
        <f t="shared" si="3"/>
        <v>254</v>
      </c>
      <c r="B256" t="s">
        <v>254</v>
      </c>
      <c r="C256" t="s">
        <v>255</v>
      </c>
      <c r="D256" s="2" t="s">
        <v>308</v>
      </c>
      <c r="F256" s="3"/>
      <c r="G256" s="3"/>
      <c r="H256" s="4"/>
      <c r="I256" s="4"/>
      <c r="J256" t="s">
        <v>353</v>
      </c>
      <c r="K256" t="s">
        <v>356</v>
      </c>
    </row>
    <row r="257" spans="1:11" x14ac:dyDescent="0.45">
      <c r="A257" s="2">
        <f t="shared" si="3"/>
        <v>255</v>
      </c>
      <c r="B257" t="s">
        <v>254</v>
      </c>
      <c r="C257" t="s">
        <v>256</v>
      </c>
      <c r="D257" s="2" t="s">
        <v>308</v>
      </c>
      <c r="E257" t="s">
        <v>361</v>
      </c>
      <c r="F257" s="3">
        <v>-0.33226284584980198</v>
      </c>
      <c r="G257" s="3">
        <v>2.5321146245059298E-2</v>
      </c>
      <c r="H257" s="4">
        <v>3.75</v>
      </c>
      <c r="I257" s="4">
        <v>2.109375</v>
      </c>
      <c r="J257" t="s">
        <v>351</v>
      </c>
      <c r="K257" t="s">
        <v>362</v>
      </c>
    </row>
    <row r="258" spans="1:11" x14ac:dyDescent="0.45">
      <c r="A258" s="2">
        <f t="shared" si="3"/>
        <v>256</v>
      </c>
      <c r="B258" t="s">
        <v>254</v>
      </c>
      <c r="C258" t="s">
        <v>257</v>
      </c>
      <c r="D258" s="2" t="s">
        <v>308</v>
      </c>
      <c r="F258" s="3">
        <v>0.38923542490118201</v>
      </c>
      <c r="G258" s="3">
        <v>-0.43648097826086701</v>
      </c>
      <c r="H258" s="4">
        <v>150</v>
      </c>
      <c r="I258" s="4">
        <v>84.375</v>
      </c>
      <c r="J258" t="s">
        <v>351</v>
      </c>
      <c r="K258" t="s">
        <v>362</v>
      </c>
    </row>
    <row r="259" spans="1:11" x14ac:dyDescent="0.45">
      <c r="A259" s="2">
        <f t="shared" si="3"/>
        <v>257</v>
      </c>
      <c r="B259" t="s">
        <v>254</v>
      </c>
      <c r="C259" t="s">
        <v>258</v>
      </c>
      <c r="D259" s="2" t="s">
        <v>308</v>
      </c>
      <c r="F259" s="3">
        <v>-5.6126062322933903E-3</v>
      </c>
      <c r="G259" s="3">
        <v>1.19068696883983E-3</v>
      </c>
      <c r="H259" s="4">
        <v>19.494057513000001</v>
      </c>
      <c r="I259" s="4">
        <v>10.965407351</v>
      </c>
      <c r="J259" t="s">
        <v>352</v>
      </c>
      <c r="K259" t="s">
        <v>355</v>
      </c>
    </row>
    <row r="260" spans="1:11" x14ac:dyDescent="0.45">
      <c r="A260" s="2">
        <f t="shared" si="3"/>
        <v>258</v>
      </c>
      <c r="B260" t="s">
        <v>254</v>
      </c>
      <c r="C260" t="s">
        <v>259</v>
      </c>
      <c r="D260" s="2" t="s">
        <v>308</v>
      </c>
      <c r="F260" s="3">
        <v>0</v>
      </c>
      <c r="G260" s="3">
        <v>0</v>
      </c>
      <c r="H260" s="4">
        <v>4.8735143781000003</v>
      </c>
      <c r="I260" s="4">
        <v>2.7413518376999999</v>
      </c>
      <c r="J260" t="s">
        <v>352</v>
      </c>
      <c r="K260" t="s">
        <v>355</v>
      </c>
    </row>
    <row r="261" spans="1:11" ht="14.65" thickBot="1" x14ac:dyDescent="0.5">
      <c r="A261" s="2">
        <f t="shared" si="3"/>
        <v>259</v>
      </c>
      <c r="B261" s="6" t="s">
        <v>254</v>
      </c>
      <c r="C261" s="6" t="s">
        <v>260</v>
      </c>
      <c r="D261" s="5" t="s">
        <v>308</v>
      </c>
      <c r="E261" s="6"/>
      <c r="F261" s="7">
        <v>-0.22203909754190099</v>
      </c>
      <c r="G261" s="7">
        <v>5.2512073606900397E-2</v>
      </c>
      <c r="H261" s="8">
        <v>12.489770531</v>
      </c>
      <c r="I261" s="8">
        <v>7.0254959236000003</v>
      </c>
      <c r="J261" s="6" t="s">
        <v>352</v>
      </c>
      <c r="K261" s="6" t="s">
        <v>355</v>
      </c>
    </row>
    <row r="262" spans="1:11" x14ac:dyDescent="0.45">
      <c r="A262" s="2">
        <f t="shared" si="3"/>
        <v>260</v>
      </c>
      <c r="B262" t="s">
        <v>261</v>
      </c>
      <c r="C262" t="s">
        <v>262</v>
      </c>
      <c r="D262" s="2" t="s">
        <v>364</v>
      </c>
      <c r="E262" t="s">
        <v>365</v>
      </c>
      <c r="F262" s="3"/>
      <c r="G262" s="3"/>
      <c r="H262" s="4"/>
      <c r="I262" s="4"/>
      <c r="J262" t="s">
        <v>354</v>
      </c>
      <c r="K262" t="s">
        <v>357</v>
      </c>
    </row>
    <row r="263" spans="1:11" x14ac:dyDescent="0.45">
      <c r="A263" s="2">
        <f t="shared" si="3"/>
        <v>261</v>
      </c>
      <c r="B263" t="s">
        <v>261</v>
      </c>
      <c r="C263" t="s">
        <v>263</v>
      </c>
      <c r="D263" s="2" t="s">
        <v>308</v>
      </c>
      <c r="F263" s="3">
        <v>-3.6467902022801</v>
      </c>
      <c r="G263" s="3">
        <v>-0.57021594101123496</v>
      </c>
      <c r="H263" s="4">
        <v>7.3108614232000004</v>
      </c>
      <c r="I263" s="4">
        <v>4.1123595505999999</v>
      </c>
      <c r="J263" t="s">
        <v>352</v>
      </c>
      <c r="K263" t="s">
        <v>355</v>
      </c>
    </row>
    <row r="264" spans="1:11" x14ac:dyDescent="0.45">
      <c r="A264" s="2">
        <f t="shared" si="3"/>
        <v>262</v>
      </c>
      <c r="B264" t="s">
        <v>261</v>
      </c>
      <c r="C264" t="s">
        <v>264</v>
      </c>
      <c r="D264" s="2" t="s">
        <v>308</v>
      </c>
      <c r="F264" s="3">
        <v>-2.8385181470369503E-4</v>
      </c>
      <c r="G264" s="3">
        <v>4.9965455276017201E-2</v>
      </c>
      <c r="H264" s="4">
        <v>37.269492073999999</v>
      </c>
      <c r="I264" s="4">
        <v>20.964089291000001</v>
      </c>
      <c r="J264" t="s">
        <v>352</v>
      </c>
      <c r="K264" t="s">
        <v>355</v>
      </c>
    </row>
    <row r="265" spans="1:11" x14ac:dyDescent="0.45">
      <c r="A265" s="2">
        <f t="shared" si="3"/>
        <v>263</v>
      </c>
      <c r="B265" t="s">
        <v>261</v>
      </c>
      <c r="C265" t="s">
        <v>265</v>
      </c>
      <c r="D265" s="2" t="s">
        <v>308</v>
      </c>
      <c r="F265" s="3">
        <v>-1.125</v>
      </c>
      <c r="G265" s="3">
        <v>-6.640625E-2</v>
      </c>
      <c r="H265" s="4">
        <v>10</v>
      </c>
      <c r="I265" s="4">
        <v>5.625</v>
      </c>
      <c r="J265" t="s">
        <v>352</v>
      </c>
      <c r="K265" t="s">
        <v>355</v>
      </c>
    </row>
    <row r="266" spans="1:11" x14ac:dyDescent="0.45">
      <c r="A266" s="2">
        <f t="shared" si="3"/>
        <v>264</v>
      </c>
      <c r="B266" t="s">
        <v>261</v>
      </c>
      <c r="C266" t="s">
        <v>266</v>
      </c>
      <c r="D266" s="2" t="s">
        <v>308</v>
      </c>
      <c r="F266" s="3">
        <v>-1.6356183941933999</v>
      </c>
      <c r="G266" s="3">
        <v>2.4050322445418201E-2</v>
      </c>
      <c r="H266" s="4">
        <v>7.6224545954999998</v>
      </c>
      <c r="I266" s="4">
        <v>4.2876307100000002</v>
      </c>
      <c r="J266" t="s">
        <v>352</v>
      </c>
      <c r="K266" t="s">
        <v>355</v>
      </c>
    </row>
    <row r="267" spans="1:11" x14ac:dyDescent="0.45">
      <c r="A267" s="2">
        <f t="shared" si="3"/>
        <v>265</v>
      </c>
      <c r="B267" t="s">
        <v>261</v>
      </c>
      <c r="C267" t="s">
        <v>267</v>
      </c>
      <c r="D267" s="2" t="s">
        <v>308</v>
      </c>
      <c r="F267" s="3">
        <v>2.5644984865162299</v>
      </c>
      <c r="G267" s="3">
        <v>0.150454045129335</v>
      </c>
      <c r="H267" s="4">
        <v>36.376444689000003</v>
      </c>
      <c r="I267" s="4">
        <v>20.461750137999999</v>
      </c>
      <c r="J267" t="s">
        <v>352</v>
      </c>
      <c r="K267" t="s">
        <v>355</v>
      </c>
    </row>
    <row r="268" spans="1:11" ht="14.65" thickBot="1" x14ac:dyDescent="0.5">
      <c r="A268" s="2">
        <f t="shared" si="3"/>
        <v>266</v>
      </c>
      <c r="B268" s="6" t="s">
        <v>261</v>
      </c>
      <c r="C268" s="6" t="s">
        <v>268</v>
      </c>
      <c r="D268" s="5" t="s">
        <v>308</v>
      </c>
      <c r="E268" s="6"/>
      <c r="F268" s="7">
        <v>1</v>
      </c>
      <c r="G268" s="7">
        <v>0</v>
      </c>
      <c r="H268" s="8">
        <v>37.399899974</v>
      </c>
      <c r="I268" s="8">
        <v>21.037443736</v>
      </c>
      <c r="J268" s="6" t="s">
        <v>352</v>
      </c>
      <c r="K268" s="6" t="s">
        <v>355</v>
      </c>
    </row>
    <row r="269" spans="1:11" x14ac:dyDescent="0.45">
      <c r="A269" s="37"/>
      <c r="B269" s="38"/>
      <c r="C269" s="38"/>
      <c r="D269" s="39"/>
      <c r="E269" s="38"/>
      <c r="F269" s="40"/>
      <c r="G269" s="40"/>
      <c r="H269" s="41"/>
      <c r="I269" s="41"/>
      <c r="J269" s="38"/>
      <c r="K269" s="38"/>
    </row>
    <row r="270" spans="1:11" x14ac:dyDescent="0.45">
      <c r="A270" s="2">
        <f>A268+1</f>
        <v>267</v>
      </c>
      <c r="B270" t="s">
        <v>269</v>
      </c>
      <c r="C270" t="s">
        <v>270</v>
      </c>
      <c r="D270" s="2" t="s">
        <v>308</v>
      </c>
      <c r="F270" s="3">
        <v>0</v>
      </c>
      <c r="G270" s="3">
        <v>0</v>
      </c>
      <c r="H270" s="4">
        <v>24</v>
      </c>
      <c r="I270" s="4">
        <v>13.5</v>
      </c>
    </row>
    <row r="271" spans="1:11" x14ac:dyDescent="0.45">
      <c r="A271" s="2">
        <f t="shared" ref="A271:A297" si="4">A270+1</f>
        <v>268</v>
      </c>
      <c r="B271" t="s">
        <v>269</v>
      </c>
      <c r="C271" t="s">
        <v>271</v>
      </c>
      <c r="D271" s="2" t="s">
        <v>308</v>
      </c>
      <c r="F271" s="3">
        <v>0</v>
      </c>
      <c r="G271" s="3">
        <v>0</v>
      </c>
      <c r="H271" s="4">
        <v>6</v>
      </c>
      <c r="I271" s="4">
        <v>3.375</v>
      </c>
    </row>
    <row r="272" spans="1:11" x14ac:dyDescent="0.45">
      <c r="A272" s="2">
        <f t="shared" si="4"/>
        <v>269</v>
      </c>
      <c r="B272" t="s">
        <v>269</v>
      </c>
      <c r="C272" t="s">
        <v>272</v>
      </c>
      <c r="D272" s="2" t="s">
        <v>308</v>
      </c>
      <c r="F272" s="3">
        <v>0.16760835707052199</v>
      </c>
      <c r="G272" s="3">
        <v>6.7221673977560195E-2</v>
      </c>
      <c r="H272" s="4">
        <v>7.9964866052000003</v>
      </c>
      <c r="I272" s="4">
        <v>7.9964866052000003</v>
      </c>
    </row>
    <row r="273" spans="1:10" x14ac:dyDescent="0.45">
      <c r="A273" s="2">
        <f t="shared" si="4"/>
        <v>270</v>
      </c>
      <c r="B273" t="s">
        <v>269</v>
      </c>
      <c r="C273" t="s">
        <v>273</v>
      </c>
      <c r="D273" s="2" t="s">
        <v>308</v>
      </c>
      <c r="F273" s="3">
        <v>0.99997794894719205</v>
      </c>
      <c r="G273" s="3">
        <v>3.43019728514361E-4</v>
      </c>
      <c r="H273" s="4">
        <v>7.1157376224999999E-2</v>
      </c>
      <c r="I273" s="4">
        <v>4.0026024126000002E-2</v>
      </c>
    </row>
    <row r="274" spans="1:10" x14ac:dyDescent="0.45">
      <c r="A274" s="2">
        <f t="shared" si="4"/>
        <v>271</v>
      </c>
      <c r="B274" t="s">
        <v>269</v>
      </c>
      <c r="C274" t="s">
        <v>274</v>
      </c>
      <c r="D274" s="2" t="s">
        <v>308</v>
      </c>
      <c r="F274" s="3">
        <v>-2.2653064412820599E-3</v>
      </c>
      <c r="G274" s="3">
        <v>-1.00952600415555E-2</v>
      </c>
      <c r="H274" s="4">
        <v>16.339920949</v>
      </c>
      <c r="I274" s="4">
        <v>9.1912055335999998</v>
      </c>
    </row>
    <row r="275" spans="1:10" ht="14.65" thickBot="1" x14ac:dyDescent="0.5">
      <c r="A275" s="9">
        <f t="shared" si="4"/>
        <v>272</v>
      </c>
      <c r="B275" s="6" t="s">
        <v>269</v>
      </c>
      <c r="C275" s="6" t="s">
        <v>275</v>
      </c>
      <c r="D275" s="5" t="s">
        <v>308</v>
      </c>
      <c r="E275" s="6"/>
      <c r="F275" s="7">
        <v>-0.449612977602108</v>
      </c>
      <c r="G275" s="7">
        <v>-0.53004776021080202</v>
      </c>
      <c r="H275" s="8">
        <v>4</v>
      </c>
      <c r="I275" s="8">
        <v>2.25</v>
      </c>
      <c r="J275" s="6"/>
    </row>
    <row r="276" spans="1:10" x14ac:dyDescent="0.45">
      <c r="A276" s="2">
        <f t="shared" si="4"/>
        <v>273</v>
      </c>
      <c r="B276" t="s">
        <v>276</v>
      </c>
      <c r="C276" t="s">
        <v>277</v>
      </c>
      <c r="D276" s="2" t="s">
        <v>308</v>
      </c>
      <c r="F276" s="3">
        <v>0</v>
      </c>
      <c r="G276" s="3">
        <v>0</v>
      </c>
      <c r="H276" s="4">
        <v>5</v>
      </c>
      <c r="I276" s="4">
        <v>2.8125</v>
      </c>
    </row>
    <row r="277" spans="1:10" ht="14.65" thickBot="1" x14ac:dyDescent="0.5">
      <c r="A277" s="9">
        <f t="shared" si="4"/>
        <v>274</v>
      </c>
      <c r="B277" s="6" t="s">
        <v>276</v>
      </c>
      <c r="C277" s="6" t="s">
        <v>278</v>
      </c>
      <c r="D277" s="5" t="s">
        <v>308</v>
      </c>
      <c r="E277" s="6"/>
      <c r="F277" s="7">
        <v>0</v>
      </c>
      <c r="G277" s="7">
        <v>0</v>
      </c>
      <c r="H277" s="8">
        <v>5</v>
      </c>
      <c r="I277" s="8">
        <v>2.8125</v>
      </c>
      <c r="J277" s="6"/>
    </row>
    <row r="278" spans="1:10" x14ac:dyDescent="0.45">
      <c r="A278" s="9">
        <f t="shared" si="4"/>
        <v>275</v>
      </c>
      <c r="B278" t="s">
        <v>279</v>
      </c>
      <c r="C278" t="s">
        <v>280</v>
      </c>
      <c r="D278" s="2" t="s">
        <v>308</v>
      </c>
      <c r="F278" s="3">
        <v>-3.14831538728725</v>
      </c>
      <c r="G278" s="3">
        <v>8.3362278568941406E-3</v>
      </c>
      <c r="H278" s="4">
        <v>7.4642639322999997</v>
      </c>
      <c r="I278" s="4">
        <v>4.1986484619000004</v>
      </c>
    </row>
    <row r="279" spans="1:10" x14ac:dyDescent="0.45">
      <c r="A279" s="2">
        <f t="shared" si="4"/>
        <v>276</v>
      </c>
      <c r="B279" t="s">
        <v>279</v>
      </c>
      <c r="C279" t="s">
        <v>281</v>
      </c>
      <c r="D279" s="2" t="s">
        <v>308</v>
      </c>
      <c r="F279" s="3">
        <v>-0.826954434020021</v>
      </c>
      <c r="G279" s="3">
        <v>1.5896229075411601</v>
      </c>
      <c r="H279" s="4">
        <v>11.992388216</v>
      </c>
      <c r="I279" s="4">
        <v>6.7457183716999998</v>
      </c>
    </row>
    <row r="280" spans="1:10" x14ac:dyDescent="0.45">
      <c r="A280" s="2">
        <f t="shared" si="4"/>
        <v>277</v>
      </c>
      <c r="B280" t="s">
        <v>279</v>
      </c>
      <c r="C280" t="s">
        <v>282</v>
      </c>
      <c r="D280" s="2" t="s">
        <v>308</v>
      </c>
      <c r="F280" s="3">
        <v>-3.1848898182744501</v>
      </c>
      <c r="G280" s="3">
        <v>-0.196294466403164</v>
      </c>
      <c r="H280" s="4">
        <v>10.202898551000001</v>
      </c>
      <c r="I280" s="4">
        <v>5.7391304347999998</v>
      </c>
    </row>
    <row r="281" spans="1:10" x14ac:dyDescent="0.45">
      <c r="A281" s="2">
        <f t="shared" si="4"/>
        <v>278</v>
      </c>
      <c r="B281" t="s">
        <v>279</v>
      </c>
      <c r="C281" t="s">
        <v>283</v>
      </c>
      <c r="D281" s="2" t="s">
        <v>308</v>
      </c>
      <c r="E281" t="s">
        <v>367</v>
      </c>
      <c r="F281" s="3">
        <v>-0.47339389427906398</v>
      </c>
      <c r="G281" s="3">
        <v>4.7485146095140003E-4</v>
      </c>
      <c r="H281" s="4">
        <v>3.6934332400000001</v>
      </c>
      <c r="I281" s="4">
        <v>2.0775561974999999</v>
      </c>
    </row>
    <row r="282" spans="1:10" x14ac:dyDescent="0.45">
      <c r="A282" s="2">
        <f t="shared" si="4"/>
        <v>279</v>
      </c>
      <c r="B282" t="s">
        <v>279</v>
      </c>
      <c r="C282" t="s">
        <v>284</v>
      </c>
      <c r="D282" s="2" t="s">
        <v>308</v>
      </c>
      <c r="F282" s="3">
        <v>1.5392416007905101</v>
      </c>
      <c r="G282" s="3">
        <v>1.91370223978919E-2</v>
      </c>
      <c r="H282" s="4">
        <v>64</v>
      </c>
      <c r="I282" s="4">
        <v>36</v>
      </c>
    </row>
    <row r="283" spans="1:10" s="43" customFormat="1" x14ac:dyDescent="0.45">
      <c r="A283" s="2">
        <f t="shared" si="4"/>
        <v>280</v>
      </c>
      <c r="B283" s="43" t="s">
        <v>370</v>
      </c>
      <c r="C283" s="43" t="s">
        <v>369</v>
      </c>
      <c r="D283" s="42" t="s">
        <v>308</v>
      </c>
      <c r="F283" s="44">
        <v>-0.77812499999999996</v>
      </c>
      <c r="G283" s="44">
        <v>3.515625E-2</v>
      </c>
      <c r="H283" s="45">
        <v>12</v>
      </c>
      <c r="I283" s="45">
        <v>6.75</v>
      </c>
    </row>
    <row r="284" spans="1:10" x14ac:dyDescent="0.45">
      <c r="A284" s="2">
        <f t="shared" si="4"/>
        <v>281</v>
      </c>
      <c r="B284" t="s">
        <v>279</v>
      </c>
      <c r="C284" t="s">
        <v>285</v>
      </c>
      <c r="D284" s="2" t="s">
        <v>308</v>
      </c>
      <c r="F284" s="3">
        <v>0</v>
      </c>
      <c r="G284" s="3">
        <v>0</v>
      </c>
      <c r="H284" s="4">
        <v>16</v>
      </c>
      <c r="I284" s="4">
        <v>9</v>
      </c>
    </row>
    <row r="285" spans="1:10" x14ac:dyDescent="0.45">
      <c r="A285" s="2">
        <f>A284+1</f>
        <v>282</v>
      </c>
      <c r="B285" t="s">
        <v>279</v>
      </c>
      <c r="C285" t="s">
        <v>286</v>
      </c>
      <c r="D285" s="2" t="s">
        <v>308</v>
      </c>
      <c r="E285" t="s">
        <v>368</v>
      </c>
      <c r="F285" s="3">
        <v>0</v>
      </c>
      <c r="G285" s="3">
        <v>0</v>
      </c>
      <c r="H285" s="4">
        <v>55.715236050999998</v>
      </c>
      <c r="I285" s="4">
        <v>31.339820279000001</v>
      </c>
    </row>
    <row r="286" spans="1:10" x14ac:dyDescent="0.45">
      <c r="A286" s="2">
        <f>A285+1</f>
        <v>283</v>
      </c>
      <c r="B286" t="s">
        <v>287</v>
      </c>
      <c r="C286" t="s">
        <v>288</v>
      </c>
      <c r="D286" s="2" t="s">
        <v>308</v>
      </c>
      <c r="F286">
        <v>1.5315544451803</v>
      </c>
      <c r="G286" s="3">
        <v>3.53980226158776E-2</v>
      </c>
      <c r="H286" s="4">
        <v>12.861281549999999</v>
      </c>
      <c r="I286" s="4">
        <v>7.2344708721000002</v>
      </c>
    </row>
    <row r="287" spans="1:10" x14ac:dyDescent="0.45">
      <c r="A287" s="2">
        <f t="shared" si="4"/>
        <v>284</v>
      </c>
      <c r="B287" t="s">
        <v>287</v>
      </c>
      <c r="C287" t="s">
        <v>289</v>
      </c>
      <c r="D287" s="2" t="s">
        <v>308</v>
      </c>
      <c r="F287" s="3">
        <v>0</v>
      </c>
      <c r="G287" s="3">
        <v>0</v>
      </c>
      <c r="H287" s="4">
        <v>6</v>
      </c>
      <c r="I287" s="4">
        <v>3.375</v>
      </c>
    </row>
    <row r="288" spans="1:10" x14ac:dyDescent="0.45">
      <c r="A288" s="2">
        <f t="shared" si="4"/>
        <v>285</v>
      </c>
      <c r="B288" t="s">
        <v>287</v>
      </c>
      <c r="C288" t="s">
        <v>290</v>
      </c>
      <c r="D288" s="2" t="s">
        <v>308</v>
      </c>
      <c r="F288" s="3">
        <v>0</v>
      </c>
      <c r="G288" s="3">
        <v>0</v>
      </c>
      <c r="H288" s="4">
        <v>6</v>
      </c>
      <c r="I288" s="4">
        <v>3.375</v>
      </c>
    </row>
    <row r="289" spans="1:10" x14ac:dyDescent="0.45">
      <c r="A289" s="2">
        <f t="shared" si="4"/>
        <v>286</v>
      </c>
      <c r="B289" t="s">
        <v>287</v>
      </c>
      <c r="C289" t="s">
        <v>291</v>
      </c>
      <c r="D289" s="2" t="s">
        <v>308</v>
      </c>
      <c r="F289" s="3">
        <v>-5.5853884353168397E-2</v>
      </c>
      <c r="G289" s="3">
        <v>1.89764329601885E-2</v>
      </c>
      <c r="H289" s="4">
        <v>10.106422018</v>
      </c>
      <c r="I289" s="4">
        <v>5.6848623852999998</v>
      </c>
    </row>
    <row r="290" spans="1:10" x14ac:dyDescent="0.45">
      <c r="A290" s="2">
        <f t="shared" si="4"/>
        <v>287</v>
      </c>
      <c r="B290" t="s">
        <v>287</v>
      </c>
      <c r="C290" t="s">
        <v>292</v>
      </c>
      <c r="D290" s="2" t="s">
        <v>308</v>
      </c>
      <c r="F290" s="3">
        <v>0</v>
      </c>
      <c r="G290" s="3">
        <v>0</v>
      </c>
      <c r="H290" s="4">
        <v>12</v>
      </c>
      <c r="I290" s="4">
        <v>6.75</v>
      </c>
    </row>
    <row r="291" spans="1:10" x14ac:dyDescent="0.45">
      <c r="A291" s="2">
        <f t="shared" si="4"/>
        <v>288</v>
      </c>
      <c r="B291" t="s">
        <v>287</v>
      </c>
      <c r="C291" t="s">
        <v>293</v>
      </c>
      <c r="D291" s="2" t="s">
        <v>308</v>
      </c>
      <c r="F291" s="3">
        <v>0</v>
      </c>
      <c r="G291" s="3">
        <v>0</v>
      </c>
      <c r="H291" s="4">
        <v>48</v>
      </c>
      <c r="I291" s="4">
        <v>27</v>
      </c>
    </row>
    <row r="292" spans="1:10" x14ac:dyDescent="0.45">
      <c r="A292" s="2">
        <f t="shared" si="4"/>
        <v>289</v>
      </c>
      <c r="B292" t="s">
        <v>287</v>
      </c>
      <c r="C292" t="s">
        <v>294</v>
      </c>
      <c r="D292" s="2" t="s">
        <v>308</v>
      </c>
      <c r="F292" s="3">
        <v>0</v>
      </c>
      <c r="G292" s="3">
        <v>0</v>
      </c>
      <c r="H292" s="4">
        <v>12</v>
      </c>
      <c r="I292" s="4">
        <v>6.75</v>
      </c>
    </row>
    <row r="293" spans="1:10" x14ac:dyDescent="0.45">
      <c r="A293" s="2">
        <f t="shared" si="4"/>
        <v>290</v>
      </c>
      <c r="B293" t="s">
        <v>287</v>
      </c>
      <c r="C293" t="s">
        <v>295</v>
      </c>
      <c r="D293" s="2" t="s">
        <v>308</v>
      </c>
      <c r="F293" s="3">
        <v>0</v>
      </c>
      <c r="G293" s="3">
        <v>0</v>
      </c>
      <c r="H293" s="4">
        <v>6</v>
      </c>
      <c r="I293" s="4">
        <v>3.375</v>
      </c>
    </row>
    <row r="294" spans="1:10" x14ac:dyDescent="0.45">
      <c r="A294" s="2">
        <f t="shared" si="4"/>
        <v>291</v>
      </c>
      <c r="B294" t="s">
        <v>287</v>
      </c>
      <c r="C294" t="s">
        <v>296</v>
      </c>
      <c r="D294" s="2" t="s">
        <v>308</v>
      </c>
      <c r="F294" s="3">
        <v>0</v>
      </c>
      <c r="G294" s="3">
        <v>0</v>
      </c>
      <c r="H294" s="4">
        <v>10.44660676</v>
      </c>
      <c r="I294" s="4">
        <v>5.8762163021999996</v>
      </c>
    </row>
    <row r="295" spans="1:10" x14ac:dyDescent="0.45">
      <c r="A295" s="2">
        <f t="shared" si="4"/>
        <v>292</v>
      </c>
      <c r="B295" t="s">
        <v>287</v>
      </c>
      <c r="C295" t="s">
        <v>297</v>
      </c>
      <c r="D295" s="2" t="s">
        <v>308</v>
      </c>
      <c r="F295" s="3">
        <v>-0.79706422018348599</v>
      </c>
      <c r="G295" s="3">
        <v>1.1009174311926201E-3</v>
      </c>
      <c r="H295" s="4">
        <v>3</v>
      </c>
      <c r="I295" s="4">
        <v>1.6875</v>
      </c>
    </row>
    <row r="296" spans="1:10" x14ac:dyDescent="0.45">
      <c r="A296" s="2">
        <f t="shared" si="4"/>
        <v>293</v>
      </c>
      <c r="B296" t="s">
        <v>287</v>
      </c>
      <c r="C296" t="s">
        <v>298</v>
      </c>
      <c r="D296" s="2" t="s">
        <v>308</v>
      </c>
      <c r="F296" s="3">
        <v>0</v>
      </c>
      <c r="G296" s="3">
        <v>0</v>
      </c>
      <c r="H296" s="4">
        <v>12.861281549999999</v>
      </c>
      <c r="I296" s="4">
        <v>7.2344708721000002</v>
      </c>
    </row>
    <row r="297" spans="1:10" ht="14.65" thickBot="1" x14ac:dyDescent="0.5">
      <c r="A297" s="9">
        <f t="shared" si="4"/>
        <v>294</v>
      </c>
      <c r="B297" s="6" t="s">
        <v>287</v>
      </c>
      <c r="C297" s="6" t="s">
        <v>299</v>
      </c>
      <c r="D297" s="5" t="s">
        <v>308</v>
      </c>
      <c r="E297" s="6"/>
      <c r="F297" s="7">
        <v>1.32110091743115E-2</v>
      </c>
      <c r="G297" s="7">
        <v>5.72477064220187E-2</v>
      </c>
      <c r="H297" s="8">
        <v>12.861281549999999</v>
      </c>
      <c r="I297" s="8">
        <v>7.2344708721000002</v>
      </c>
      <c r="J297" s="6"/>
    </row>
    <row r="304" spans="1:10" x14ac:dyDescent="0.45">
      <c r="E304">
        <f>294-244</f>
        <v>50</v>
      </c>
    </row>
  </sheetData>
  <autoFilter ref="A1:K297" xr:uid="{DDCD0A24-47A3-4D2D-80DF-18729F910C8C}"/>
  <conditionalFormatting sqref="D40:D41 D72 D118:D135 D159:D165 D167:D169 D171:D178 D206:D212 D214:D216 D218:D220 D222:D230 D232:D238 D240:D246 D248:D254 D256:D260 D262:D267 D270:D274 D276 D54:D60 D137:D156 D180:D196 D43:D52 D278:D296">
    <cfRule type="cellIs" dxfId="81" priority="113" operator="equal">
      <formula>"Fail"</formula>
    </cfRule>
    <cfRule type="cellIs" dxfId="80" priority="114" operator="equal">
      <formula>"Pass"</formula>
    </cfRule>
  </conditionalFormatting>
  <conditionalFormatting sqref="D297">
    <cfRule type="cellIs" dxfId="79" priority="45" operator="equal">
      <formula>"Fail"</formula>
    </cfRule>
    <cfRule type="cellIs" dxfId="78" priority="46" operator="equal">
      <formula>"Pass"</formula>
    </cfRule>
  </conditionalFormatting>
  <conditionalFormatting sqref="D53">
    <cfRule type="cellIs" dxfId="77" priority="97" operator="equal">
      <formula>"Fail"</formula>
    </cfRule>
    <cfRule type="cellIs" dxfId="76" priority="98" operator="equal">
      <formula>"Pass"</formula>
    </cfRule>
  </conditionalFormatting>
  <conditionalFormatting sqref="D136">
    <cfRule type="cellIs" dxfId="75" priority="81" operator="equal">
      <formula>"Fail"</formula>
    </cfRule>
    <cfRule type="cellIs" dxfId="74" priority="82" operator="equal">
      <formula>"Pass"</formula>
    </cfRule>
  </conditionalFormatting>
  <conditionalFormatting sqref="D157:D158">
    <cfRule type="cellIs" dxfId="73" priority="79" operator="equal">
      <formula>"Fail"</formula>
    </cfRule>
    <cfRule type="cellIs" dxfId="72" priority="80" operator="equal">
      <formula>"Pass"</formula>
    </cfRule>
  </conditionalFormatting>
  <conditionalFormatting sqref="D166">
    <cfRule type="cellIs" dxfId="71" priority="77" operator="equal">
      <formula>"Fail"</formula>
    </cfRule>
    <cfRule type="cellIs" dxfId="70" priority="78" operator="equal">
      <formula>"Pass"</formula>
    </cfRule>
  </conditionalFormatting>
  <conditionalFormatting sqref="D170">
    <cfRule type="cellIs" dxfId="69" priority="75" operator="equal">
      <formula>"Fail"</formula>
    </cfRule>
    <cfRule type="cellIs" dxfId="68" priority="76" operator="equal">
      <formula>"Pass"</formula>
    </cfRule>
  </conditionalFormatting>
  <conditionalFormatting sqref="D197">
    <cfRule type="cellIs" dxfId="67" priority="73" operator="equal">
      <formula>"Fail"</formula>
    </cfRule>
    <cfRule type="cellIs" dxfId="66" priority="74" operator="equal">
      <formula>"Pass"</formula>
    </cfRule>
  </conditionalFormatting>
  <conditionalFormatting sqref="D205">
    <cfRule type="cellIs" dxfId="65" priority="41" operator="equal">
      <formula>"Fail"</formula>
    </cfRule>
    <cfRule type="cellIs" dxfId="64" priority="42" operator="equal">
      <formula>"Pass"</formula>
    </cfRule>
  </conditionalFormatting>
  <conditionalFormatting sqref="D213">
    <cfRule type="cellIs" dxfId="63" priority="71" operator="equal">
      <formula>"Fail"</formula>
    </cfRule>
    <cfRule type="cellIs" dxfId="62" priority="72" operator="equal">
      <formula>"Pass"</formula>
    </cfRule>
  </conditionalFormatting>
  <conditionalFormatting sqref="D217">
    <cfRule type="cellIs" dxfId="61" priority="69" operator="equal">
      <formula>"Fail"</formula>
    </cfRule>
    <cfRule type="cellIs" dxfId="60" priority="70" operator="equal">
      <formula>"Pass"</formula>
    </cfRule>
  </conditionalFormatting>
  <conditionalFormatting sqref="D221">
    <cfRule type="cellIs" dxfId="59" priority="67" operator="equal">
      <formula>"Fail"</formula>
    </cfRule>
    <cfRule type="cellIs" dxfId="58" priority="68" operator="equal">
      <formula>"Pass"</formula>
    </cfRule>
  </conditionalFormatting>
  <conditionalFormatting sqref="D231">
    <cfRule type="cellIs" dxfId="57" priority="65" operator="equal">
      <formula>"Fail"</formula>
    </cfRule>
    <cfRule type="cellIs" dxfId="56" priority="66" operator="equal">
      <formula>"Pass"</formula>
    </cfRule>
  </conditionalFormatting>
  <conditionalFormatting sqref="D239">
    <cfRule type="cellIs" dxfId="55" priority="63" operator="equal">
      <formula>"Fail"</formula>
    </cfRule>
    <cfRule type="cellIs" dxfId="54" priority="64" operator="equal">
      <formula>"Pass"</formula>
    </cfRule>
  </conditionalFormatting>
  <conditionalFormatting sqref="D247">
    <cfRule type="cellIs" dxfId="53" priority="61" operator="equal">
      <formula>"Fail"</formula>
    </cfRule>
    <cfRule type="cellIs" dxfId="52" priority="62" operator="equal">
      <formula>"Pass"</formula>
    </cfRule>
  </conditionalFormatting>
  <conditionalFormatting sqref="D255">
    <cfRule type="cellIs" dxfId="51" priority="57" operator="equal">
      <formula>"Fail"</formula>
    </cfRule>
    <cfRule type="cellIs" dxfId="50" priority="58" operator="equal">
      <formula>"Pass"</formula>
    </cfRule>
  </conditionalFormatting>
  <conditionalFormatting sqref="D261">
    <cfRule type="cellIs" dxfId="49" priority="55" operator="equal">
      <formula>"Fail"</formula>
    </cfRule>
    <cfRule type="cellIs" dxfId="48" priority="56" operator="equal">
      <formula>"Pass"</formula>
    </cfRule>
  </conditionalFormatting>
  <conditionalFormatting sqref="D268:D269">
    <cfRule type="cellIs" dxfId="47" priority="53" operator="equal">
      <formula>"Fail"</formula>
    </cfRule>
    <cfRule type="cellIs" dxfId="46" priority="54" operator="equal">
      <formula>"Pass"</formula>
    </cfRule>
  </conditionalFormatting>
  <conditionalFormatting sqref="D275">
    <cfRule type="cellIs" dxfId="45" priority="51" operator="equal">
      <formula>"Fail"</formula>
    </cfRule>
    <cfRule type="cellIs" dxfId="44" priority="52" operator="equal">
      <formula>"Pass"</formula>
    </cfRule>
  </conditionalFormatting>
  <conditionalFormatting sqref="D277">
    <cfRule type="cellIs" dxfId="43" priority="49" operator="equal">
      <formula>"Fail"</formula>
    </cfRule>
    <cfRule type="cellIs" dxfId="42" priority="50" operator="equal">
      <formula>"Pass"</formula>
    </cfRule>
  </conditionalFormatting>
  <conditionalFormatting sqref="D198:D204">
    <cfRule type="cellIs" dxfId="41" priority="43" operator="equal">
      <formula>"Fail"</formula>
    </cfRule>
    <cfRule type="cellIs" dxfId="40" priority="44" operator="equal">
      <formula>"Pass"</formula>
    </cfRule>
  </conditionalFormatting>
  <conditionalFormatting sqref="D2:D8">
    <cfRule type="cellIs" dxfId="39" priority="39" operator="equal">
      <formula>"Fail"</formula>
    </cfRule>
    <cfRule type="cellIs" dxfId="38" priority="40" operator="equal">
      <formula>"Pass"</formula>
    </cfRule>
  </conditionalFormatting>
  <conditionalFormatting sqref="D9:D13 D15:D16 D18:D19">
    <cfRule type="cellIs" dxfId="37" priority="37" operator="equal">
      <formula>"Fail"</formula>
    </cfRule>
    <cfRule type="cellIs" dxfId="36" priority="38" operator="equal">
      <formula>"Pass"</formula>
    </cfRule>
  </conditionalFormatting>
  <conditionalFormatting sqref="D20">
    <cfRule type="cellIs" dxfId="35" priority="35" operator="equal">
      <formula>"Fail"</formula>
    </cfRule>
    <cfRule type="cellIs" dxfId="34" priority="36" operator="equal">
      <formula>"Pass"</formula>
    </cfRule>
  </conditionalFormatting>
  <conditionalFormatting sqref="D14">
    <cfRule type="cellIs" dxfId="33" priority="33" operator="equal">
      <formula>"Fail"</formula>
    </cfRule>
    <cfRule type="cellIs" dxfId="32" priority="34" operator="equal">
      <formula>"Pass"</formula>
    </cfRule>
  </conditionalFormatting>
  <conditionalFormatting sqref="D17">
    <cfRule type="cellIs" dxfId="31" priority="31" operator="equal">
      <formula>"Fail"</formula>
    </cfRule>
    <cfRule type="cellIs" dxfId="30" priority="32" operator="equal">
      <formula>"Pass"</formula>
    </cfRule>
  </conditionalFormatting>
  <conditionalFormatting sqref="D21:D22">
    <cfRule type="cellIs" dxfId="29" priority="29" operator="equal">
      <formula>"Fail"</formula>
    </cfRule>
    <cfRule type="cellIs" dxfId="28" priority="30" operator="equal">
      <formula>"Pass"</formula>
    </cfRule>
  </conditionalFormatting>
  <conditionalFormatting sqref="D23:D34">
    <cfRule type="cellIs" dxfId="27" priority="27" operator="equal">
      <formula>"Fail"</formula>
    </cfRule>
    <cfRule type="cellIs" dxfId="26" priority="28" operator="equal">
      <formula>"Pass"</formula>
    </cfRule>
  </conditionalFormatting>
  <conditionalFormatting sqref="D35:D38">
    <cfRule type="cellIs" dxfId="25" priority="25" operator="equal">
      <formula>"Fail"</formula>
    </cfRule>
    <cfRule type="cellIs" dxfId="24" priority="26" operator="equal">
      <formula>"Pass"</formula>
    </cfRule>
  </conditionalFormatting>
  <conditionalFormatting sqref="D39">
    <cfRule type="cellIs" dxfId="23" priority="23" operator="equal">
      <formula>"Fail"</formula>
    </cfRule>
    <cfRule type="cellIs" dxfId="22" priority="24" operator="equal">
      <formula>"Pass"</formula>
    </cfRule>
  </conditionalFormatting>
  <conditionalFormatting sqref="D42">
    <cfRule type="cellIs" dxfId="21" priority="21" operator="equal">
      <formula>"Fail"</formula>
    </cfRule>
    <cfRule type="cellIs" dxfId="20" priority="22" operator="equal">
      <formula>"Pass"</formula>
    </cfRule>
  </conditionalFormatting>
  <conditionalFormatting sqref="D61:D67">
    <cfRule type="cellIs" dxfId="19" priority="19" operator="equal">
      <formula>"Fail"</formula>
    </cfRule>
    <cfRule type="cellIs" dxfId="18" priority="20" operator="equal">
      <formula>"Pass"</formula>
    </cfRule>
  </conditionalFormatting>
  <conditionalFormatting sqref="D68:D70">
    <cfRule type="cellIs" dxfId="17" priority="17" operator="equal">
      <formula>"Fail"</formula>
    </cfRule>
    <cfRule type="cellIs" dxfId="16" priority="18" operator="equal">
      <formula>"Pass"</formula>
    </cfRule>
  </conditionalFormatting>
  <conditionalFormatting sqref="D71">
    <cfRule type="cellIs" dxfId="15" priority="15" operator="equal">
      <formula>"Fail"</formula>
    </cfRule>
    <cfRule type="cellIs" dxfId="14" priority="16" operator="equal">
      <formula>"Pass"</formula>
    </cfRule>
  </conditionalFormatting>
  <conditionalFormatting sqref="D73:D78 D80:D82">
    <cfRule type="cellIs" dxfId="13" priority="13" operator="equal">
      <formula>"Fail"</formula>
    </cfRule>
    <cfRule type="cellIs" dxfId="12" priority="14" operator="equal">
      <formula>"Pass"</formula>
    </cfRule>
  </conditionalFormatting>
  <conditionalFormatting sqref="D79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D83:D90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D91:D108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D109:D113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D114:D117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D179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D40:D41 D72 D43:D60 D118:D297" xr:uid="{00000000-0002-0000-0000-000000000000}">
      <formula1>"Pass, Fail"</formula1>
    </dataValidation>
    <dataValidation type="list" allowBlank="1" showInputMessage="1" showErrorMessage="1" sqref="D2:D39 D42 D61:D71 D73:D117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350</v>
      </c>
      <c r="D3" t="s">
        <v>358</v>
      </c>
    </row>
    <row r="4" spans="3:4" x14ac:dyDescent="0.45">
      <c r="C4" t="s">
        <v>353</v>
      </c>
      <c r="D4" t="s">
        <v>356</v>
      </c>
    </row>
    <row r="5" spans="3:4" x14ac:dyDescent="0.45">
      <c r="C5" t="s">
        <v>352</v>
      </c>
      <c r="D5" t="s">
        <v>355</v>
      </c>
    </row>
    <row r="6" spans="3:4" x14ac:dyDescent="0.45">
      <c r="C6" t="s">
        <v>354</v>
      </c>
      <c r="D6" t="s">
        <v>357</v>
      </c>
    </row>
    <row r="7" spans="3:4" x14ac:dyDescent="0.45">
      <c r="C7" t="s">
        <v>351</v>
      </c>
      <c r="D7" t="s">
        <v>357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2026-05-19T23:13:11Z</cp:lastPrinted>
  <dcterms:created xsi:type="dcterms:W3CDTF">2026-05-16T14:54:53Z</dcterms:created>
  <dcterms:modified xsi:type="dcterms:W3CDTF">2026-05-21T05:49:56Z</dcterms:modified>
</cp:coreProperties>
</file>