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60553B5-9820-4A76-B1DC-A0CA09A2F504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FractalRegistry!$A$1:$L$314</definedName>
    <definedName name="Data">FractalRegistry!$A$1:$L$314</definedName>
  </definedNames>
  <calcPr calcId="191029"/>
</workbook>
</file>

<file path=xl/calcChain.xml><?xml version="1.0" encoding="utf-8"?>
<calcChain xmlns="http://schemas.openxmlformats.org/spreadsheetml/2006/main">
  <c r="A161" i="1" l="1"/>
  <c r="A162" i="1"/>
  <c r="A163" i="1"/>
  <c r="A164" i="1"/>
  <c r="J285" i="1" l="1"/>
  <c r="J313" i="1" l="1"/>
  <c r="J314" i="1"/>
  <c r="J312" i="1"/>
  <c r="J311" i="1"/>
  <c r="J310" i="1"/>
  <c r="J308" i="1"/>
  <c r="J309" i="1"/>
  <c r="J307" i="1"/>
  <c r="J306" i="1"/>
  <c r="J304" i="1"/>
  <c r="J305" i="1"/>
  <c r="J303" i="1"/>
  <c r="J302" i="1"/>
  <c r="J301" i="1"/>
  <c r="J295" i="1"/>
  <c r="J300" i="1"/>
  <c r="J299" i="1"/>
  <c r="J297" i="1"/>
  <c r="J296" i="1"/>
  <c r="J298" i="1"/>
  <c r="J294" i="1"/>
  <c r="J293" i="1"/>
  <c r="J292" i="1"/>
  <c r="J291" i="1"/>
  <c r="J290" i="1"/>
  <c r="J289" i="1"/>
  <c r="J288" i="1"/>
  <c r="J287" i="1"/>
  <c r="J281" i="1"/>
  <c r="J280" i="1"/>
  <c r="J279" i="1"/>
  <c r="J277" i="1"/>
  <c r="J274" i="1"/>
  <c r="J271" i="1"/>
  <c r="J270" i="1"/>
  <c r="J269" i="1"/>
  <c r="J267" i="1"/>
  <c r="J266" i="1"/>
  <c r="J268" i="1"/>
  <c r="J263" i="1"/>
  <c r="J265" i="1"/>
  <c r="J264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6" i="1"/>
  <c r="J245" i="1"/>
  <c r="J244" i="1"/>
  <c r="J247" i="1"/>
  <c r="J243" i="1"/>
  <c r="J242" i="1"/>
  <c r="J241" i="1"/>
  <c r="J240" i="1"/>
  <c r="J239" i="1"/>
  <c r="J238" i="1"/>
  <c r="J237" i="1"/>
  <c r="J234" i="1"/>
  <c r="J236" i="1"/>
  <c r="J235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2" i="1"/>
  <c r="J201" i="1"/>
  <c r="J200" i="1"/>
  <c r="J199" i="1"/>
  <c r="J198" i="1"/>
  <c r="J197" i="1"/>
  <c r="J196" i="1"/>
  <c r="J195" i="1"/>
  <c r="J191" i="1"/>
  <c r="J190" i="1"/>
  <c r="J189" i="1"/>
  <c r="J194" i="1"/>
  <c r="J193" i="1"/>
  <c r="J192" i="1"/>
  <c r="J188" i="1"/>
  <c r="J187" i="1"/>
  <c r="J186" i="1"/>
  <c r="J185" i="1"/>
  <c r="J184" i="1"/>
  <c r="J181" i="1"/>
  <c r="J182" i="1"/>
  <c r="J183" i="1"/>
  <c r="J180" i="1"/>
  <c r="J179" i="1"/>
  <c r="J178" i="1"/>
  <c r="J177" i="1"/>
  <c r="J176" i="1"/>
  <c r="G321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</calcChain>
</file>

<file path=xl/sharedStrings.xml><?xml version="1.0" encoding="utf-8"?>
<sst xmlns="http://schemas.openxmlformats.org/spreadsheetml/2006/main" count="1876" uniqueCount="731">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</sst>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8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1"/>
  <sheetViews>
    <sheetView tabSelected="1" zoomScale="120" zoomScaleNormal="120" workbookViewId="0">
      <pane xSplit="1" ySplit="1" topLeftCell="B170" activePane="bottomRight" state="frozen"/>
      <selection pane="topRight" activeCell="B1" sqref="B1"/>
      <selection pane="bottomLeft" activeCell="A2" sqref="A2"/>
      <selection pane="bottomRight" activeCell="D178" sqref="D178"/>
    </sheetView>
  </sheetViews>
  <sheetFormatPr defaultRowHeight="14.25" x14ac:dyDescent="0.45"/>
  <cols>
    <col min="1" max="1" width="5.6640625" style="2" customWidth="1"/>
    <col min="2" max="2" width="14.9296875" customWidth="1"/>
    <col min="3" max="3" width="6.640625E-2" hidden="1" customWidth="1"/>
    <col min="4" max="4" width="23.3984375" customWidth="1"/>
    <col min="5" max="5" width="18.1328125" customWidth="1"/>
    <col min="6" max="6" width="4.33203125" style="2" customWidth="1"/>
    <col min="7" max="7" width="108.86328125" hidden="1" customWidth="1"/>
    <col min="8" max="8" width="5.79687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</v>
      </c>
      <c r="I176" s="20">
        <v>-0.5</v>
      </c>
      <c r="J176" s="24" t="e">
        <f>IF(#REF!&lt;&gt;0,3/#REF!,"N/A")</f>
        <v>#REF!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-0.28988974570550302</v>
      </c>
      <c r="I177" s="20">
        <v>-0.561744537960148</v>
      </c>
      <c r="J177" s="24" t="e">
        <f>IF(#REF!&lt;&gt;0,3/#REF!,"N/A")</f>
        <v>#REF!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-0.54094642857142805</v>
      </c>
      <c r="I178" s="3">
        <v>4.0113707983192998E-2</v>
      </c>
      <c r="J178" s="13" t="e">
        <f>IF(#REF!&lt;&gt;0,3/#REF!,"N/A")</f>
        <v>#REF!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-0.45390625000000001</v>
      </c>
      <c r="I179" s="3">
        <v>-3.90624999999999E-3</v>
      </c>
      <c r="J179" s="13" t="e">
        <f>IF(#REF!&lt;&gt;0,3/#REF!,"N/A")</f>
        <v>#REF!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 t="e">
        <f>IF(#REF!&lt;&gt;0,3/#REF!,"N/A")</f>
        <v>#REF!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 t="e">
        <f>IF(#REF!&lt;&gt;0,3/#REF!,"N/A")</f>
        <v>#REF!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 t="e">
        <f>IF(#REF!&lt;&gt;0,3/#REF!,"N/A")</f>
        <v>#REF!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 t="e">
        <f>IF(#REF!&lt;&gt;0,3/#REF!,"N/A")</f>
        <v>#REF!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0.99957651044607498</v>
      </c>
      <c r="I184" s="3">
        <v>6.3523433088651503E-3</v>
      </c>
      <c r="J184" s="13" t="e">
        <f>IF(#REF!&lt;&gt;0,3/#REF!,"N/A")</f>
        <v>#REF!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/>
      <c r="I185" s="3"/>
      <c r="J185" s="13" t="e">
        <f>IF(#REF!&lt;&gt;0,3/#REF!,"N/A")</f>
        <v>#REF!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/>
      <c r="I186" s="3"/>
      <c r="J186" s="13" t="e">
        <f>IF(#REF!&lt;&gt;0,3/#REF!,"N/A")</f>
        <v>#REF!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-0.36210937499999901</v>
      </c>
      <c r="I187" s="3">
        <v>-4.6874999999999903E-3</v>
      </c>
      <c r="J187" s="13" t="e">
        <f>IF(#REF!&lt;&gt;0,3/#REF!,"N/A")</f>
        <v>#REF!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-0.394574846588925</v>
      </c>
      <c r="I188" s="3">
        <v>-1.6110981627733001E-3</v>
      </c>
      <c r="J188" s="13" t="e">
        <f>IF(#REF!&lt;&gt;0,3/#REF!,"N/A")</f>
        <v>#REF!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-0.15712696055775799</v>
      </c>
      <c r="I189" s="3">
        <v>5.5483965529608704E-3</v>
      </c>
      <c r="J189" s="13" t="e">
        <f>IF(#REF!&lt;&gt;0,3/#REF!,"N/A")</f>
        <v>#REF!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 t="e">
        <f>IF(#REF!&lt;&gt;0,3/#REF!,"N/A")</f>
        <v>#REF!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 t="e">
        <f>IF(#REF!&lt;&gt;0,3/#REF!,"N/A")</f>
        <v>#REF!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 t="e">
        <f>IF(#REF!&lt;&gt;0,3/#REF!,"N/A")</f>
        <v>#REF!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 t="e">
        <f>IF(#REF!&lt;&gt;0,3/#REF!,"N/A")</f>
        <v>#REF!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 t="e">
        <f>IF(#REF!&lt;&gt;0,3/#REF!,"N/A")</f>
        <v>#REF!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-0.148758993771477</v>
      </c>
      <c r="I195" s="3">
        <v>0.62955326460480998</v>
      </c>
      <c r="J195" s="13" t="e">
        <f>IF(#REF!&lt;&gt;0,3/#REF!,"N/A")</f>
        <v>#REF!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 t="e">
        <f>IF(#REF!&lt;&gt;0,3/#REF!,"N/A")</f>
        <v>#REF!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-0.58828124999999898</v>
      </c>
      <c r="I197" s="3">
        <v>-4.6874999999999903E-3</v>
      </c>
      <c r="J197" s="13" t="e">
        <f>IF(#REF!&lt;&gt;0,3/#REF!,"N/A")</f>
        <v>#REF!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-0.249609374999999</v>
      </c>
      <c r="I198" s="3">
        <v>-1.6406250000000001E-2</v>
      </c>
      <c r="J198" s="13" t="e">
        <f>IF(#REF!&lt;&gt;0,3/#REF!,"N/A")</f>
        <v>#REF!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-0.2109375</v>
      </c>
      <c r="I199" s="3">
        <v>-1.8749999999999899E-2</v>
      </c>
      <c r="J199" s="13" t="e">
        <f>IF(#REF!&lt;&gt;0,3/#REF!,"N/A")</f>
        <v>#REF!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-1.8681088587872701E-3</v>
      </c>
      <c r="I200" s="3">
        <v>1.45213559590144E-3</v>
      </c>
      <c r="J200" s="13" t="e">
        <f>IF(#REF!&lt;&gt;0,3/#REF!,"N/A")</f>
        <v>#REF!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-0.248521008366511</v>
      </c>
      <c r="I201" s="3">
        <v>3.6650423737307002E-2</v>
      </c>
      <c r="J201" s="13" t="e">
        <f>IF(#REF!&lt;&gt;0,3/#REF!,"N/A")</f>
        <v>#REF!</v>
      </c>
      <c r="L201" t="s">
        <v>635</v>
      </c>
    </row>
    <row r="202" spans="1:12" x14ac:dyDescent="0.45">
      <c r="A202" s="2">
        <f t="shared" si="4"/>
        <v>200</v>
      </c>
      <c r="B202" s="15" t="s">
        <v>178</v>
      </c>
      <c r="C202" s="15" t="s">
        <v>643</v>
      </c>
      <c r="D202" s="15" t="s">
        <v>201</v>
      </c>
      <c r="E202" s="15" t="s">
        <v>492</v>
      </c>
      <c r="F202" s="7" t="s">
        <v>302</v>
      </c>
      <c r="G202" s="15"/>
      <c r="H202" s="20">
        <v>-0.109897735001431</v>
      </c>
      <c r="I202" s="20">
        <v>-4.35438144329897E-2</v>
      </c>
      <c r="J202" s="24" t="e">
        <f>IF(#REF!&lt;&gt;0,3/#REF!,"N/A")</f>
        <v>#REF!</v>
      </c>
      <c r="K202" s="1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0.57434917749851699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1.8813865629474899E-3</v>
      </c>
      <c r="I204" s="20">
        <v>-1.7929192851177101E-3</v>
      </c>
      <c r="J204" s="24">
        <v>0.80907390083999897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0.54829886274714601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0.107725135666983</v>
      </c>
      <c r="K206" s="15"/>
      <c r="L206" s="15"/>
    </row>
    <row r="207" spans="1:12" x14ac:dyDescent="0.45">
      <c r="A207" s="2">
        <f t="shared" si="4"/>
        <v>205</v>
      </c>
      <c r="B207" s="21" t="s">
        <v>712</v>
      </c>
      <c r="C207" s="15"/>
      <c r="D207" s="15" t="s">
        <v>720</v>
      </c>
      <c r="E207" t="s">
        <v>721</v>
      </c>
      <c r="F207" s="7" t="s">
        <v>302</v>
      </c>
      <c r="G207" s="15"/>
      <c r="H207" s="20">
        <v>-0.31954390776346397</v>
      </c>
      <c r="I207" s="20">
        <v>3.4974955078587999E-2</v>
      </c>
      <c r="J207" s="24">
        <v>0.737134613670553</v>
      </c>
      <c r="K207" s="1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-0.214285714285714</v>
      </c>
      <c r="I208" s="20">
        <v>-0.57756696428571397</v>
      </c>
      <c r="J208" s="24" t="e">
        <f>IF(#REF!&lt;&gt;0,3/#REF!,"N/A")</f>
        <v>#REF!</v>
      </c>
      <c r="K208" s="5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 t="e">
        <f>IF(#REF!&lt;&gt;0,3/#REF!,"N/A")</f>
        <v>#REF!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-0.19380004332237499</v>
      </c>
      <c r="I210" s="3">
        <v>1.8667670377751001E-2</v>
      </c>
      <c r="J210" s="13" t="e">
        <f>IF(#REF!&lt;&gt;0,3/#REF!,"N/A")</f>
        <v>#REF!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-0.114484592013889</v>
      </c>
      <c r="I211" s="3">
        <v>4.7308132875143504E-3</v>
      </c>
      <c r="J211" s="13" t="e">
        <f>IF(#REF!&lt;&gt;0,3/#REF!,"N/A")</f>
        <v>#REF!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7.5036966004140407E-2</v>
      </c>
      <c r="I212" s="3">
        <v>-2.21804600992744E-2</v>
      </c>
      <c r="J212" s="13" t="e">
        <f>IF(#REF!&lt;&gt;0,3/#REF!,"N/A")</f>
        <v>#REF!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-1.2357903888167401E-2</v>
      </c>
      <c r="I213" s="3">
        <v>-4.4905939034107098E-2</v>
      </c>
      <c r="J213" s="13" t="e">
        <f>IF(#REF!&lt;&gt;0,3/#REF!,"N/A")</f>
        <v>#REF!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 t="e">
        <f>IF(#REF!&lt;&gt;0,3/#REF!,"N/A")</f>
        <v>#REF!</v>
      </c>
      <c r="L214" t="s">
        <v>635</v>
      </c>
    </row>
    <row r="215" spans="1:12" x14ac:dyDescent="0.45">
      <c r="A215" s="2">
        <f t="shared" si="4"/>
        <v>213</v>
      </c>
      <c r="B215" s="15" t="s">
        <v>303</v>
      </c>
      <c r="C215" s="15" t="s">
        <v>676</v>
      </c>
      <c r="D215" s="15" t="s">
        <v>249</v>
      </c>
      <c r="E215" s="15" t="s">
        <v>500</v>
      </c>
      <c r="F215" s="7" t="s">
        <v>302</v>
      </c>
      <c r="G215" s="15"/>
      <c r="H215" s="20">
        <v>0</v>
      </c>
      <c r="I215" s="20">
        <v>0</v>
      </c>
      <c r="J215" s="24" t="e">
        <f>IF(#REF!&lt;&gt;0,3/#REF!,"N/A")</f>
        <v>#REF!</v>
      </c>
      <c r="K215" s="15"/>
      <c r="L215" s="15" t="s">
        <v>635</v>
      </c>
    </row>
    <row r="216" spans="1:12" ht="14.65" thickBot="1" x14ac:dyDescent="0.5">
      <c r="A216" s="2">
        <f t="shared" si="4"/>
        <v>214</v>
      </c>
      <c r="B216" s="5" t="s">
        <v>202</v>
      </c>
      <c r="C216" s="5" t="s">
        <v>671</v>
      </c>
      <c r="D216" s="5" t="s">
        <v>313</v>
      </c>
      <c r="E216" s="5" t="s">
        <v>588</v>
      </c>
      <c r="F216" s="4" t="s">
        <v>302</v>
      </c>
      <c r="G216" s="5"/>
      <c r="H216" s="6"/>
      <c r="I216" s="6"/>
      <c r="J216" s="23" t="e">
        <f>IF(#REF!&lt;&gt;0,3/#REF!,"N/A")</f>
        <v>#REF!</v>
      </c>
      <c r="K216" s="5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/>
      <c r="I217" s="3"/>
      <c r="J217" s="13" t="e">
        <f>IF(#REF!&lt;&gt;0,3/#REF!,"N/A")</f>
        <v>#REF!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 t="e">
        <f>IF(#REF!&lt;&gt;0,3/#REF!,"N/A")</f>
        <v>#REF!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/>
      <c r="I219" s="3"/>
      <c r="J219" s="13" t="e">
        <f>IF(#REF!&lt;&gt;0,3/#REF!,"N/A")</f>
        <v>#REF!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/>
      <c r="I220" s="3"/>
      <c r="J220" s="13" t="e">
        <f>IF(#REF!&lt;&gt;0,3/#REF!,"N/A")</f>
        <v>#REF!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/>
      <c r="I221" s="3"/>
      <c r="J221" s="13" t="e">
        <f>IF(#REF!&lt;&gt;0,3/#REF!,"N/A")</f>
        <v>#REF!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 t="e">
        <f>IF(#REF!&lt;&gt;0,3/#REF!,"N/A")</f>
        <v>#REF!</v>
      </c>
      <c r="L222" t="s">
        <v>635</v>
      </c>
    </row>
    <row r="223" spans="1:12" x14ac:dyDescent="0.45">
      <c r="A223" s="2">
        <f t="shared" si="4"/>
        <v>221</v>
      </c>
      <c r="B223" s="15" t="s">
        <v>202</v>
      </c>
      <c r="C223" t="s">
        <v>671</v>
      </c>
      <c r="D223" s="15" t="s">
        <v>205</v>
      </c>
      <c r="E223" s="15" t="s">
        <v>205</v>
      </c>
      <c r="F223" s="7" t="s">
        <v>302</v>
      </c>
      <c r="G223" s="15"/>
      <c r="H223" s="20">
        <v>-0.55139768622793595</v>
      </c>
      <c r="I223" s="20">
        <v>2.63177386339149E-2</v>
      </c>
      <c r="J223" s="24" t="e">
        <f>IF(#REF!&lt;&gt;0,3/#REF!,"N/A")</f>
        <v>#REF!</v>
      </c>
      <c r="K223" s="15"/>
      <c r="L223" s="15" t="s">
        <v>635</v>
      </c>
    </row>
    <row r="224" spans="1:12" ht="14.65" thickBot="1" x14ac:dyDescent="0.5">
      <c r="A224" s="2">
        <f t="shared" si="4"/>
        <v>222</v>
      </c>
      <c r="B224" s="5" t="s">
        <v>206</v>
      </c>
      <c r="C224" t="s">
        <v>673</v>
      </c>
      <c r="D224" s="5" t="s">
        <v>207</v>
      </c>
      <c r="E224" s="5" t="s">
        <v>502</v>
      </c>
      <c r="F224" s="4" t="s">
        <v>302</v>
      </c>
      <c r="G224" s="5"/>
      <c r="H224" s="6">
        <v>0</v>
      </c>
      <c r="I224" s="6">
        <v>0</v>
      </c>
      <c r="J224" s="23" t="e">
        <f>IF(#REF!&lt;&gt;0,3/#REF!,"N/A")</f>
        <v>#REF!</v>
      </c>
      <c r="K224" s="5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 t="e">
        <f>IF(#REF!&lt;&gt;0,3/#REF!,"N/A")</f>
        <v>#REF!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 t="e">
        <f>IF(#REF!&lt;&gt;0,3/#REF!,"N/A")</f>
        <v>#REF!</v>
      </c>
      <c r="L226" t="s">
        <v>635</v>
      </c>
    </row>
    <row r="227" spans="1:12" x14ac:dyDescent="0.45">
      <c r="A227" s="2">
        <f t="shared" si="4"/>
        <v>225</v>
      </c>
      <c r="B227" s="15" t="s">
        <v>206</v>
      </c>
      <c r="C227" s="15" t="s">
        <v>673</v>
      </c>
      <c r="D227" s="15" t="s">
        <v>210</v>
      </c>
      <c r="E227" s="15" t="s">
        <v>505</v>
      </c>
      <c r="F227" s="7" t="s">
        <v>302</v>
      </c>
      <c r="G227" s="15"/>
      <c r="H227" s="20">
        <v>-0.24257812499999901</v>
      </c>
      <c r="I227" s="20">
        <v>-3.5156249999999901E-3</v>
      </c>
      <c r="J227" s="24" t="e">
        <f>IF(#REF!&lt;&gt;0,3/#REF!,"N/A")</f>
        <v>#REF!</v>
      </c>
      <c r="K227" s="15"/>
      <c r="L227" s="15" t="s">
        <v>635</v>
      </c>
    </row>
    <row r="228" spans="1:12" ht="14.65" thickBot="1" x14ac:dyDescent="0.5">
      <c r="A228" s="2">
        <f t="shared" si="4"/>
        <v>226</v>
      </c>
      <c r="B228" s="5" t="s">
        <v>211</v>
      </c>
      <c r="C228" s="5" t="s">
        <v>673</v>
      </c>
      <c r="D228" s="5" t="s">
        <v>212</v>
      </c>
      <c r="E228" s="5" t="s">
        <v>506</v>
      </c>
      <c r="F228" s="4" t="s">
        <v>302</v>
      </c>
      <c r="G228" s="5"/>
      <c r="H228" s="6">
        <v>-0.37968749999999901</v>
      </c>
      <c r="I228" s="6">
        <v>-1.7578125E-2</v>
      </c>
      <c r="J228" s="23" t="e">
        <f>IF(#REF!&lt;&gt;0,3/#REF!,"N/A")</f>
        <v>#REF!</v>
      </c>
      <c r="K228" s="5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-0.24257812499999901</v>
      </c>
      <c r="I229" s="20">
        <v>-3.5156249999999901E-3</v>
      </c>
      <c r="J229" s="13" t="e">
        <f>IF(#REF!&lt;&gt;0,3/#REF!,"N/A")</f>
        <v>#REF!</v>
      </c>
      <c r="L229" t="s">
        <v>635</v>
      </c>
    </row>
    <row r="230" spans="1:12" ht="14.65" thickBot="1" x14ac:dyDescent="0.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6">
        <v>0</v>
      </c>
      <c r="I230" s="6">
        <v>0</v>
      </c>
      <c r="J230" s="13" t="e">
        <f>IF(#REF!&lt;&gt;0,3/#REF!,"N/A")</f>
        <v>#REF!</v>
      </c>
      <c r="L230" t="s">
        <v>635</v>
      </c>
    </row>
    <row r="231" spans="1:12" x14ac:dyDescent="0.45">
      <c r="A231" s="2">
        <f t="shared" si="4"/>
        <v>229</v>
      </c>
      <c r="B231" s="15" t="s">
        <v>211</v>
      </c>
      <c r="C231" s="15" t="s">
        <v>673</v>
      </c>
      <c r="D231" s="15" t="s">
        <v>215</v>
      </c>
      <c r="E231" s="15" t="s">
        <v>509</v>
      </c>
      <c r="F231" s="7" t="s">
        <v>302</v>
      </c>
      <c r="G231" s="15"/>
      <c r="H231" s="20">
        <v>-0.16662704558133701</v>
      </c>
      <c r="I231" s="20">
        <v>6.5052130349130199E-19</v>
      </c>
      <c r="J231" s="24" t="e">
        <f>IF(#REF!&lt;&gt;0,3/#REF!,"N/A")</f>
        <v>#REF!</v>
      </c>
      <c r="K231" s="15"/>
      <c r="L231" s="15" t="s">
        <v>635</v>
      </c>
    </row>
    <row r="232" spans="1:12" ht="14.65" thickBot="1" x14ac:dyDescent="0.5">
      <c r="A232" s="2">
        <f t="shared" si="4"/>
        <v>230</v>
      </c>
      <c r="B232" s="5" t="s">
        <v>216</v>
      </c>
      <c r="C232" s="22" t="s">
        <v>674</v>
      </c>
      <c r="D232" s="5" t="s">
        <v>217</v>
      </c>
      <c r="E232" s="5" t="s">
        <v>510</v>
      </c>
      <c r="F232" s="4" t="s">
        <v>302</v>
      </c>
      <c r="G232" s="5"/>
      <c r="H232" s="6">
        <v>-8.8863350609925396E-2</v>
      </c>
      <c r="I232" s="6">
        <v>-2.49544228749192E-2</v>
      </c>
      <c r="J232" s="23" t="e">
        <f>IF(#REF!&lt;&gt;0,3/#REF!,"N/A")</f>
        <v>#REF!</v>
      </c>
      <c r="K232" s="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 t="e">
        <f>IF(#REF!&lt;&gt;0,3/#REF!,"N/A")</f>
        <v>#REF!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0</v>
      </c>
      <c r="I235" s="3">
        <v>0</v>
      </c>
      <c r="J235" s="13" t="e">
        <f>IF(#REF!&lt;&gt;0,3/#REF!,"N/A")</f>
        <v>#REF!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0</v>
      </c>
      <c r="I236" s="3">
        <v>0</v>
      </c>
      <c r="J236" s="13" t="e">
        <f>IF(#REF!&lt;&gt;0,3/#REF!,"N/A")</f>
        <v>#REF!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0</v>
      </c>
      <c r="I237" s="3">
        <v>0</v>
      </c>
      <c r="J237" s="13" t="e">
        <f>IF(#REF!&lt;&gt;0,3/#REF!,"N/A")</f>
        <v>#REF!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-0.251953125</v>
      </c>
      <c r="I238" s="3">
        <v>-8.7890625E-3</v>
      </c>
      <c r="J238" s="13" t="e">
        <f>IF(#REF!&lt;&gt;0,3/#REF!,"N/A")</f>
        <v>#REF!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-0.15487041477869101</v>
      </c>
      <c r="I239" s="3">
        <v>-1.36663693622268E-2</v>
      </c>
      <c r="J239" s="13" t="e">
        <f>IF(#REF!&lt;&gt;0,3/#REF!,"N/A")</f>
        <v>#REF!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-0.1787109375</v>
      </c>
      <c r="I240" s="3">
        <v>1.46484375E-3</v>
      </c>
      <c r="J240" s="13" t="e">
        <f>IF(#REF!&lt;&gt;0,3/#REF!,"N/A")</f>
        <v>#REF!</v>
      </c>
      <c r="L240" t="s">
        <v>635</v>
      </c>
    </row>
    <row r="241" spans="1:12" x14ac:dyDescent="0.45">
      <c r="A241" s="2">
        <f t="shared" si="4"/>
        <v>239</v>
      </c>
      <c r="B241" s="15" t="s">
        <v>216</v>
      </c>
      <c r="C241" s="15" t="s">
        <v>674</v>
      </c>
      <c r="D241" s="15" t="s">
        <v>226</v>
      </c>
      <c r="E241" s="15" t="s">
        <v>519</v>
      </c>
      <c r="F241" s="7" t="s">
        <v>302</v>
      </c>
      <c r="G241" s="15"/>
      <c r="H241" s="20">
        <v>-0.34130859375</v>
      </c>
      <c r="I241" s="20">
        <v>-1.46484375E-3</v>
      </c>
      <c r="J241" s="24" t="e">
        <f>IF(#REF!&lt;&gt;0,3/#REF!,"N/A")</f>
        <v>#REF!</v>
      </c>
      <c r="K241" s="15"/>
      <c r="L241" s="15" t="s">
        <v>635</v>
      </c>
    </row>
    <row r="242" spans="1:12" ht="14.65" thickBot="1" x14ac:dyDescent="0.5">
      <c r="A242" s="2">
        <f t="shared" si="4"/>
        <v>240</v>
      </c>
      <c r="B242" s="5" t="s">
        <v>227</v>
      </c>
      <c r="C242" s="5" t="s">
        <v>675</v>
      </c>
      <c r="D242" s="5" t="s">
        <v>228</v>
      </c>
      <c r="E242" s="5" t="s">
        <v>594</v>
      </c>
      <c r="F242" s="4" t="s">
        <v>302</v>
      </c>
      <c r="G242" s="5"/>
      <c r="H242" s="6">
        <v>-0.18535125895255999</v>
      </c>
      <c r="I242" s="6">
        <v>1.5132638679150301E-2</v>
      </c>
      <c r="J242" s="23" t="e">
        <f>IF(#REF!&lt;&gt;0,3/#REF!,"N/A")</f>
        <v>#REF!</v>
      </c>
      <c r="K242" s="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-0.16611516952966299</v>
      </c>
      <c r="I244" s="3">
        <v>6.6816265541818395E-2</v>
      </c>
      <c r="J244" s="13" t="e">
        <f>IF(#REF!&lt;&gt;0,3/#REF!,"N/A")</f>
        <v>#REF!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 t="e">
        <f>IF(#REF!&lt;&gt;0,3/#REF!,"N/A")</f>
        <v>#REF!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-0.19383352385890201</v>
      </c>
      <c r="I246" s="3">
        <v>3.4005881378754801E-3</v>
      </c>
      <c r="J246" s="13" t="e">
        <f>IF(#REF!&lt;&gt;0,3/#REF!,"N/A")</f>
        <v>#REF!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/>
      <c r="I248" s="20"/>
      <c r="J248" s="24" t="e">
        <f>IF(#REF!&lt;&gt;0,3/#REF!,"N/A")</f>
        <v>#REF!</v>
      </c>
      <c r="K248" s="15"/>
      <c r="L248" s="15" t="s">
        <v>635</v>
      </c>
    </row>
    <row r="249" spans="1:12" x14ac:dyDescent="0.45">
      <c r="A249" s="2">
        <f t="shared" si="4"/>
        <v>247</v>
      </c>
      <c r="B249" s="15" t="s">
        <v>227</v>
      </c>
      <c r="C249" s="15" t="s">
        <v>675</v>
      </c>
      <c r="D249" s="15" t="s">
        <v>235</v>
      </c>
      <c r="E249" s="15" t="s">
        <v>598</v>
      </c>
      <c r="F249" s="7" t="s">
        <v>302</v>
      </c>
      <c r="G249" s="15"/>
      <c r="H249" s="20">
        <v>0</v>
      </c>
      <c r="I249" s="20">
        <v>0</v>
      </c>
      <c r="J249" s="24" t="e">
        <f>IF(#REF!&lt;&gt;0,3/#REF!,"N/A")</f>
        <v>#REF!</v>
      </c>
      <c r="K249" s="15"/>
      <c r="L249" s="15" t="s">
        <v>635</v>
      </c>
    </row>
    <row r="250" spans="1:12" ht="14.65" thickBot="1" x14ac:dyDescent="0.5">
      <c r="A250" s="2">
        <f t="shared" si="4"/>
        <v>248</v>
      </c>
      <c r="B250" s="5" t="s">
        <v>304</v>
      </c>
      <c r="C250" s="5" t="s">
        <v>677</v>
      </c>
      <c r="D250" s="5" t="s">
        <v>236</v>
      </c>
      <c r="E250" s="5" t="s">
        <v>236</v>
      </c>
      <c r="F250" s="4" t="s">
        <v>302</v>
      </c>
      <c r="G250" s="5"/>
      <c r="H250" s="6">
        <v>-0.57070312499999998</v>
      </c>
      <c r="I250" s="6">
        <v>2.6953124999999901E-2</v>
      </c>
      <c r="J250" s="23" t="e">
        <f>IF(#REF!&lt;&gt;0,3/#REF!,"N/A")</f>
        <v>#REF!</v>
      </c>
      <c r="K250" s="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 t="e">
        <f>IF(#REF!&lt;&gt;0,3/#REF!,"N/A")</f>
        <v>#REF!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-0.168898568184977</v>
      </c>
      <c r="I255" s="3">
        <v>2.1546730920717301E-2</v>
      </c>
      <c r="J255" s="13" t="e">
        <f>IF(#REF!&lt;&gt;0,3/#REF!,"N/A")</f>
        <v>#REF!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 t="e">
        <f>IF(#REF!&lt;&gt;0,3/#REF!,"N/A")</f>
        <v>#REF!</v>
      </c>
      <c r="L256" t="s">
        <v>635</v>
      </c>
    </row>
    <row r="257" spans="1:12" x14ac:dyDescent="0.45">
      <c r="A257" s="2">
        <f t="shared" si="4"/>
        <v>255</v>
      </c>
      <c r="B257" s="15" t="s">
        <v>304</v>
      </c>
      <c r="C257" s="15" t="s">
        <v>677</v>
      </c>
      <c r="D257" s="15" t="s">
        <v>241</v>
      </c>
      <c r="E257" s="15" t="s">
        <v>603</v>
      </c>
      <c r="F257" s="7" t="s">
        <v>302</v>
      </c>
      <c r="G257" s="15"/>
      <c r="H257" s="20">
        <v>0</v>
      </c>
      <c r="I257" s="20">
        <v>0</v>
      </c>
      <c r="J257" s="24" t="e">
        <f>IF(#REF!&lt;&gt;0,3/#REF!,"N/A")</f>
        <v>#REF!</v>
      </c>
      <c r="K257" s="15"/>
      <c r="L257" s="15" t="s">
        <v>635</v>
      </c>
    </row>
    <row r="258" spans="1:12" ht="14.65" thickBot="1" x14ac:dyDescent="0.5">
      <c r="A258" s="2">
        <f t="shared" ref="A258:A314" si="5">A257+1</f>
        <v>256</v>
      </c>
      <c r="B258" s="5" t="s">
        <v>250</v>
      </c>
      <c r="C258" s="5" t="s">
        <v>679</v>
      </c>
      <c r="D258" s="5" t="s">
        <v>318</v>
      </c>
      <c r="E258" s="5" t="s">
        <v>604</v>
      </c>
      <c r="F258" s="4" t="s">
        <v>302</v>
      </c>
      <c r="G258" s="5"/>
      <c r="H258" s="6">
        <v>0</v>
      </c>
      <c r="I258" s="6">
        <v>0</v>
      </c>
      <c r="J258" s="23" t="e">
        <f>IF(#REF!&lt;&gt;0,3/#REF!,"N/A")</f>
        <v>#REF!</v>
      </c>
      <c r="K258" s="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-2.3551547802465</v>
      </c>
      <c r="I259" s="3">
        <v>1.49625973078175E-2</v>
      </c>
      <c r="J259" s="13" t="e">
        <f>IF(#REF!&lt;&gt;0,3/#REF!,"N/A")</f>
        <v>#REF!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 t="e">
        <f>IF(#REF!&lt;&gt;0,3/#REF!,"N/A")</f>
        <v>#REF!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 t="e">
        <f>IF(#REF!&lt;&gt;0,3/#REF!,"N/A")</f>
        <v>#REF!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 t="e">
        <f>IF(#REF!&lt;&gt;0,3/#REF!,"N/A")</f>
        <v>#REF!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9.1841731880125899E-2</v>
      </c>
      <c r="I263" s="20">
        <v>-0.17277720945686001</v>
      </c>
      <c r="J263" s="24" t="e">
        <f>IF(#REF!&lt;&gt;0,3/#REF!,"N/A")</f>
        <v>#REF!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4.0254603399433702</v>
      </c>
      <c r="I264" s="20">
        <v>0.144673630783757</v>
      </c>
      <c r="J264" s="24" t="e">
        <f>IF(#REF!&lt;&gt;0,3/#REF!,"N/A")</f>
        <v>#REF!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324</v>
      </c>
      <c r="E265" t="s">
        <v>610</v>
      </c>
      <c r="F265" s="2" t="s">
        <v>302</v>
      </c>
      <c r="H265" s="3">
        <v>-6.2910553801410293E-2</v>
      </c>
      <c r="I265" s="3">
        <v>-0.133920889728255</v>
      </c>
      <c r="J265" s="13" t="e">
        <f>IF(#REF!&lt;&gt;0,3/#REF!,"N/A")</f>
        <v>#REF!</v>
      </c>
      <c r="L265" t="s">
        <v>635</v>
      </c>
    </row>
    <row r="266" spans="1:12" ht="14.65" thickBot="1" x14ac:dyDescent="0.5">
      <c r="A266" s="2">
        <f t="shared" si="5"/>
        <v>264</v>
      </c>
      <c r="B266" s="5" t="s">
        <v>251</v>
      </c>
      <c r="C266" s="5" t="s">
        <v>681</v>
      </c>
      <c r="D266" s="5" t="s">
        <v>253</v>
      </c>
      <c r="E266" s="5" t="s">
        <v>253</v>
      </c>
      <c r="F266" s="4" t="s">
        <v>302</v>
      </c>
      <c r="G266" s="5" t="s">
        <v>353</v>
      </c>
      <c r="H266" s="6">
        <v>-0.33226284584980198</v>
      </c>
      <c r="I266" s="6">
        <v>2.5321146245059298E-2</v>
      </c>
      <c r="J266" s="23" t="e">
        <f>IF(#REF!&lt;&gt;0,3/#REF!,"N/A")</f>
        <v>#REF!</v>
      </c>
      <c r="K266" s="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t="s">
        <v>251</v>
      </c>
      <c r="C269" t="s">
        <v>681</v>
      </c>
      <c r="D269" t="s">
        <v>255</v>
      </c>
      <c r="E269" t="s">
        <v>255</v>
      </c>
      <c r="F269" s="2" t="s">
        <v>302</v>
      </c>
      <c r="H269" s="3">
        <v>-5.6126062322933903E-3</v>
      </c>
      <c r="I269" s="3">
        <v>1.19068696883983E-3</v>
      </c>
      <c r="J269" s="13" t="e">
        <f>IF(#REF!&lt;&gt;0,3/#REF!,"N/A")</f>
        <v>#REF!</v>
      </c>
      <c r="L269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256</v>
      </c>
      <c r="E270" t="s">
        <v>256</v>
      </c>
      <c r="F270" s="2" t="s">
        <v>302</v>
      </c>
      <c r="H270" s="3">
        <v>0</v>
      </c>
      <c r="I270" s="3">
        <v>0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257</v>
      </c>
      <c r="E271" s="15" t="s">
        <v>526</v>
      </c>
      <c r="F271" s="7" t="s">
        <v>302</v>
      </c>
      <c r="G271" s="15"/>
      <c r="H271" s="20">
        <v>-0.22203909754190099</v>
      </c>
      <c r="I271" s="20">
        <v>5.2512073606900397E-2</v>
      </c>
      <c r="J271" s="24" t="e">
        <f>IF(#REF!&lt;&gt;0,3/#REF!,"N/A")</f>
        <v>#REF!</v>
      </c>
      <c r="K271" s="15"/>
      <c r="L271" s="15" t="s">
        <v>635</v>
      </c>
    </row>
    <row r="272" spans="1:12" ht="14.65" thickBot="1" x14ac:dyDescent="0.5">
      <c r="A272" s="2">
        <f t="shared" si="5"/>
        <v>270</v>
      </c>
      <c r="B272" s="5" t="s">
        <v>258</v>
      </c>
      <c r="C272" s="5" t="s">
        <v>680</v>
      </c>
      <c r="D272" s="5" t="s">
        <v>259</v>
      </c>
      <c r="E272" s="5" t="s">
        <v>527</v>
      </c>
      <c r="F272" s="4" t="s">
        <v>302</v>
      </c>
      <c r="G272" s="5" t="s">
        <v>355</v>
      </c>
      <c r="H272" s="6">
        <v>-0.69665929008750505</v>
      </c>
      <c r="I272" s="6">
        <v>-0.57148811196592597</v>
      </c>
      <c r="J272" s="23">
        <v>0.158807672173572</v>
      </c>
      <c r="K272" s="5"/>
      <c r="L272" s="5" t="s">
        <v>635</v>
      </c>
    </row>
    <row r="273" spans="1:12" x14ac:dyDescent="0.45">
      <c r="A273" s="2">
        <f t="shared" si="5"/>
        <v>271</v>
      </c>
      <c r="B273" t="s">
        <v>258</v>
      </c>
      <c r="D273" t="s">
        <v>692</v>
      </c>
      <c r="E273" t="s">
        <v>696</v>
      </c>
      <c r="F273" s="2" t="s">
        <v>302</v>
      </c>
      <c r="H273" s="3">
        <v>0.33833705716155399</v>
      </c>
      <c r="I273" s="3">
        <v>2.0752737684215899E-2</v>
      </c>
      <c r="J273" s="13">
        <v>0.38668516346655102</v>
      </c>
    </row>
    <row r="274" spans="1:12" x14ac:dyDescent="0.45">
      <c r="A274" s="2">
        <f t="shared" si="5"/>
        <v>272</v>
      </c>
      <c r="B274" t="s">
        <v>258</v>
      </c>
      <c r="C274" t="s">
        <v>680</v>
      </c>
      <c r="D274" t="s">
        <v>260</v>
      </c>
      <c r="E274" t="s">
        <v>528</v>
      </c>
      <c r="F274" s="2" t="s">
        <v>302</v>
      </c>
      <c r="H274" s="3">
        <v>-3.6467902022801</v>
      </c>
      <c r="I274" s="3">
        <v>-0.57021594101123496</v>
      </c>
      <c r="J274" s="13" t="e">
        <f>IF(#REF!&lt;&gt;0,3/#REF!,"N/A")</f>
        <v>#REF!</v>
      </c>
      <c r="L274" t="s">
        <v>635</v>
      </c>
    </row>
    <row r="275" spans="1:12" x14ac:dyDescent="0.45">
      <c r="A275" s="2">
        <f t="shared" si="5"/>
        <v>273</v>
      </c>
      <c r="B275" t="s">
        <v>258</v>
      </c>
      <c r="D275" t="s">
        <v>693</v>
      </c>
      <c r="E275" t="s">
        <v>697</v>
      </c>
      <c r="F275" s="2" t="s">
        <v>302</v>
      </c>
      <c r="H275" s="3">
        <v>0</v>
      </c>
      <c r="I275" s="3">
        <v>0</v>
      </c>
      <c r="J275" s="13">
        <v>0.125</v>
      </c>
    </row>
    <row r="276" spans="1:12" x14ac:dyDescent="0.45">
      <c r="A276" s="2">
        <f t="shared" si="5"/>
        <v>274</v>
      </c>
      <c r="B276" t="s">
        <v>258</v>
      </c>
      <c r="D276" t="s">
        <v>688</v>
      </c>
      <c r="E276" t="s">
        <v>698</v>
      </c>
      <c r="F276" s="2" t="s">
        <v>302</v>
      </c>
      <c r="H276" s="3">
        <v>-1</v>
      </c>
      <c r="I276" s="3">
        <v>0</v>
      </c>
      <c r="J276" s="13">
        <v>0.5</v>
      </c>
    </row>
    <row r="277" spans="1:12" x14ac:dyDescent="0.45">
      <c r="A277" s="2">
        <f t="shared" si="5"/>
        <v>275</v>
      </c>
      <c r="B277" t="s">
        <v>258</v>
      </c>
      <c r="C277" t="s">
        <v>680</v>
      </c>
      <c r="D277" t="s">
        <v>261</v>
      </c>
      <c r="E277" t="s">
        <v>529</v>
      </c>
      <c r="F277" s="2" t="s">
        <v>302</v>
      </c>
      <c r="H277" s="3">
        <v>-2.8385181470369503E-4</v>
      </c>
      <c r="I277" s="3">
        <v>4.9965455276017201E-2</v>
      </c>
      <c r="J277" s="13" t="e">
        <f>IF(#REF!&lt;&gt;0,3/#REF!,"N/A")</f>
        <v>#REF!</v>
      </c>
      <c r="L277" t="s">
        <v>635</v>
      </c>
    </row>
    <row r="278" spans="1:12" x14ac:dyDescent="0.45">
      <c r="A278" s="2">
        <f t="shared" si="5"/>
        <v>276</v>
      </c>
      <c r="B278" t="s">
        <v>258</v>
      </c>
      <c r="D278" t="s">
        <v>690</v>
      </c>
      <c r="E278" t="s">
        <v>699</v>
      </c>
      <c r="F278" s="2" t="s">
        <v>302</v>
      </c>
      <c r="H278" s="3">
        <v>-0.475222657127989</v>
      </c>
      <c r="I278" s="3">
        <v>3.1485056391258799</v>
      </c>
      <c r="J278" s="13">
        <v>0.58516260162601597</v>
      </c>
    </row>
    <row r="279" spans="1:12" x14ac:dyDescent="0.45">
      <c r="A279" s="2">
        <f t="shared" si="5"/>
        <v>277</v>
      </c>
      <c r="B279" t="s">
        <v>258</v>
      </c>
      <c r="C279" t="s">
        <v>680</v>
      </c>
      <c r="D279" t="s">
        <v>262</v>
      </c>
      <c r="E279" t="s">
        <v>530</v>
      </c>
      <c r="F279" s="2" t="s">
        <v>302</v>
      </c>
      <c r="H279" s="3">
        <v>-1.125</v>
      </c>
      <c r="I279" s="3">
        <v>-6.640625E-2</v>
      </c>
      <c r="J279" s="13" t="e">
        <f>IF(#REF!&lt;&gt;0,3/#REF!,"N/A")</f>
        <v>#REF!</v>
      </c>
      <c r="L279" t="s">
        <v>635</v>
      </c>
    </row>
    <row r="280" spans="1:12" x14ac:dyDescent="0.45">
      <c r="A280" s="2">
        <f t="shared" si="5"/>
        <v>278</v>
      </c>
      <c r="B280" s="15" t="s">
        <v>258</v>
      </c>
      <c r="C280" s="15" t="s">
        <v>680</v>
      </c>
      <c r="D280" s="15" t="s">
        <v>263</v>
      </c>
      <c r="E280" s="15" t="s">
        <v>531</v>
      </c>
      <c r="F280" s="7" t="s">
        <v>302</v>
      </c>
      <c r="G280" s="15"/>
      <c r="H280" s="20">
        <v>-1.6356183941933999</v>
      </c>
      <c r="I280" s="20">
        <v>2.4050322445418201E-2</v>
      </c>
      <c r="J280" s="24" t="e">
        <f>IF(#REF!&lt;&gt;0,3/#REF!,"N/A")</f>
        <v>#REF!</v>
      </c>
      <c r="K280" s="15"/>
      <c r="L280" s="15" t="s">
        <v>635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264</v>
      </c>
      <c r="E281" t="s">
        <v>532</v>
      </c>
      <c r="F281" s="2" t="s">
        <v>302</v>
      </c>
      <c r="H281" s="3">
        <v>2.5644984865162299</v>
      </c>
      <c r="I281" s="3">
        <v>0.150454045129335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691</v>
      </c>
      <c r="E282" t="s">
        <v>700</v>
      </c>
      <c r="F282" s="2" t="s">
        <v>302</v>
      </c>
      <c r="H282" s="3">
        <v>8.3362278568983993E-3</v>
      </c>
      <c r="I282" s="3">
        <v>4.1681139284472798E-2</v>
      </c>
      <c r="J282" s="13">
        <v>8.3042862982190005E-2</v>
      </c>
    </row>
    <row r="283" spans="1:12" x14ac:dyDescent="0.45">
      <c r="A283" s="2">
        <f t="shared" si="5"/>
        <v>281</v>
      </c>
      <c r="B283" t="s">
        <v>258</v>
      </c>
      <c r="D283" t="s">
        <v>694</v>
      </c>
      <c r="E283" t="s">
        <v>701</v>
      </c>
      <c r="F283" s="2" t="s">
        <v>302</v>
      </c>
      <c r="H283" s="3">
        <v>-1.03965794826681</v>
      </c>
      <c r="I283" s="3">
        <v>8.4535007877224594E-2</v>
      </c>
      <c r="J283" s="13">
        <v>0.43527528164806201</v>
      </c>
    </row>
    <row r="284" spans="1:12" x14ac:dyDescent="0.45">
      <c r="A284" s="2">
        <f t="shared" si="5"/>
        <v>282</v>
      </c>
      <c r="B284" t="s">
        <v>258</v>
      </c>
      <c r="D284" t="s">
        <v>695</v>
      </c>
      <c r="E284" t="s">
        <v>702</v>
      </c>
      <c r="F284" s="2" t="s">
        <v>302</v>
      </c>
      <c r="H284" s="3">
        <v>7.8152136158388397E-2</v>
      </c>
      <c r="I284" s="3">
        <v>-0.49639631816602903</v>
      </c>
      <c r="J284" s="13">
        <v>1.3158135283363801</v>
      </c>
    </row>
    <row r="285" spans="1:12" x14ac:dyDescent="0.45">
      <c r="A285" s="2">
        <f t="shared" si="5"/>
        <v>283</v>
      </c>
      <c r="B285" s="15" t="s">
        <v>258</v>
      </c>
      <c r="C285" s="15" t="s">
        <v>680</v>
      </c>
      <c r="D285" s="15" t="s">
        <v>265</v>
      </c>
      <c r="E285" s="15" t="s">
        <v>533</v>
      </c>
      <c r="F285" s="7" t="s">
        <v>302</v>
      </c>
      <c r="G285" s="15"/>
      <c r="H285" s="20">
        <v>1</v>
      </c>
      <c r="I285" s="20">
        <v>0</v>
      </c>
      <c r="J285" s="24" t="e">
        <f>IF(#REF!&lt;&gt;0,3/#REF!,"N/A")</f>
        <v>#REF!</v>
      </c>
    </row>
    <row r="286" spans="1:12" x14ac:dyDescent="0.45">
      <c r="A286" s="2">
        <f t="shared" si="5"/>
        <v>284</v>
      </c>
      <c r="B286" s="15" t="s">
        <v>258</v>
      </c>
      <c r="C286" s="15" t="s">
        <v>680</v>
      </c>
      <c r="D286" s="15" t="s">
        <v>689</v>
      </c>
      <c r="E286" s="15" t="s">
        <v>533</v>
      </c>
      <c r="F286" s="7" t="s">
        <v>302</v>
      </c>
      <c r="G286" s="15"/>
      <c r="H286" s="20">
        <v>-0.25343772240527501</v>
      </c>
      <c r="I286" s="20">
        <v>2.8551421212316399E-3</v>
      </c>
      <c r="J286" s="24">
        <v>0.325449642392387</v>
      </c>
      <c r="K286" s="15"/>
      <c r="L286" s="15" t="s">
        <v>635</v>
      </c>
    </row>
    <row r="287" spans="1:12" ht="14.65" thickBot="1" x14ac:dyDescent="0.5">
      <c r="A287" s="2">
        <f t="shared" si="5"/>
        <v>285</v>
      </c>
      <c r="B287" s="5" t="s">
        <v>266</v>
      </c>
      <c r="C287" s="5" t="s">
        <v>682</v>
      </c>
      <c r="D287" s="5" t="s">
        <v>267</v>
      </c>
      <c r="E287" s="5" t="s">
        <v>613</v>
      </c>
      <c r="F287" s="4" t="s">
        <v>302</v>
      </c>
      <c r="G287" s="5"/>
      <c r="H287" s="6">
        <v>0</v>
      </c>
      <c r="I287" s="6">
        <v>0</v>
      </c>
      <c r="J287" s="23" t="e">
        <f>IF(#REF!&lt;&gt;0,3/#REF!,"N/A")</f>
        <v>#REF!</v>
      </c>
      <c r="K287" s="5"/>
      <c r="L287" s="5" t="s">
        <v>635</v>
      </c>
    </row>
    <row r="288" spans="1:12" x14ac:dyDescent="0.45">
      <c r="A288" s="2">
        <f t="shared" si="5"/>
        <v>286</v>
      </c>
      <c r="B288" t="s">
        <v>266</v>
      </c>
      <c r="C288" t="s">
        <v>682</v>
      </c>
      <c r="D288" t="s">
        <v>268</v>
      </c>
      <c r="E288" t="s">
        <v>534</v>
      </c>
      <c r="F288" s="2" t="s">
        <v>302</v>
      </c>
      <c r="H288" s="3">
        <v>0</v>
      </c>
      <c r="I288" s="3">
        <v>0</v>
      </c>
      <c r="J288" s="13" t="e">
        <f>IF(#REF!&lt;&gt;0,3/#REF!,"N/A")</f>
        <v>#REF!</v>
      </c>
      <c r="L288" t="s">
        <v>635</v>
      </c>
    </row>
    <row r="289" spans="1:12" x14ac:dyDescent="0.45">
      <c r="A289" s="2">
        <f t="shared" si="5"/>
        <v>287</v>
      </c>
      <c r="B289" s="15" t="s">
        <v>266</v>
      </c>
      <c r="C289" s="15" t="s">
        <v>682</v>
      </c>
      <c r="D289" s="15" t="s">
        <v>269</v>
      </c>
      <c r="E289" s="15" t="s">
        <v>614</v>
      </c>
      <c r="F289" s="7" t="s">
        <v>302</v>
      </c>
      <c r="G289" s="15"/>
      <c r="H289" s="20">
        <v>0.16760835707052199</v>
      </c>
      <c r="I289" s="20">
        <v>6.7221673977560195E-2</v>
      </c>
      <c r="J289" s="24" t="e">
        <f>IF(#REF!&lt;&gt;0,3/#REF!,"N/A")</f>
        <v>#REF!</v>
      </c>
      <c r="K289" s="15"/>
      <c r="L289" s="15" t="s">
        <v>635</v>
      </c>
    </row>
    <row r="290" spans="1:12" x14ac:dyDescent="0.45">
      <c r="A290" s="2">
        <f t="shared" si="5"/>
        <v>288</v>
      </c>
      <c r="B290" t="s">
        <v>266</v>
      </c>
      <c r="C290" t="s">
        <v>682</v>
      </c>
      <c r="D290" t="s">
        <v>270</v>
      </c>
      <c r="E290" t="s">
        <v>615</v>
      </c>
      <c r="F290" s="2" t="s">
        <v>302</v>
      </c>
      <c r="H290" s="3">
        <v>0.99997794894719205</v>
      </c>
      <c r="I290" s="3">
        <v>3.43019728514361E-4</v>
      </c>
      <c r="J290" s="13" t="e">
        <f>IF(#REF!&lt;&gt;0,3/#REF!,"N/A")</f>
        <v>#REF!</v>
      </c>
      <c r="L290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271</v>
      </c>
      <c r="E291" t="s">
        <v>616</v>
      </c>
      <c r="F291" s="2" t="s">
        <v>302</v>
      </c>
      <c r="H291" s="3">
        <v>-2.2653064412820599E-3</v>
      </c>
      <c r="I291" s="3">
        <v>-1.00952600415555E-2</v>
      </c>
      <c r="J291" s="13" t="e">
        <f>IF(#REF!&lt;&gt;0,3/#REF!,"N/A")</f>
        <v>#REF!</v>
      </c>
      <c r="L291" t="s">
        <v>635</v>
      </c>
    </row>
    <row r="292" spans="1:12" x14ac:dyDescent="0.45">
      <c r="A292" s="2">
        <f t="shared" si="5"/>
        <v>290</v>
      </c>
      <c r="B292" s="15" t="s">
        <v>266</v>
      </c>
      <c r="C292" s="15" t="s">
        <v>682</v>
      </c>
      <c r="D292" s="15" t="s">
        <v>272</v>
      </c>
      <c r="E292" s="15" t="s">
        <v>617</v>
      </c>
      <c r="F292" s="7" t="s">
        <v>302</v>
      </c>
      <c r="G292" s="15"/>
      <c r="H292" s="20">
        <v>-0.449612977602108</v>
      </c>
      <c r="I292" s="20">
        <v>-0.53004776021080202</v>
      </c>
      <c r="J292" s="24" t="e">
        <f>IF(#REF!&lt;&gt;0,3/#REF!,"N/A")</f>
        <v>#REF!</v>
      </c>
      <c r="K292" s="15"/>
      <c r="L292" s="15" t="s">
        <v>635</v>
      </c>
    </row>
    <row r="293" spans="1:12" x14ac:dyDescent="0.45">
      <c r="A293" s="2">
        <f t="shared" si="5"/>
        <v>291</v>
      </c>
      <c r="B293" t="s">
        <v>273</v>
      </c>
      <c r="C293" t="s">
        <v>678</v>
      </c>
      <c r="D293" t="s">
        <v>274</v>
      </c>
      <c r="E293" t="s">
        <v>618</v>
      </c>
      <c r="F293" s="2" t="s">
        <v>302</v>
      </c>
      <c r="H293" s="3">
        <v>0</v>
      </c>
      <c r="I293" s="3">
        <v>0</v>
      </c>
      <c r="J293" s="13" t="e">
        <f>IF(#REF!&lt;&gt;0,3/#REF!,"N/A")</f>
        <v>#REF!</v>
      </c>
      <c r="L293" t="s">
        <v>635</v>
      </c>
    </row>
    <row r="294" spans="1:12" ht="14.65" thickBot="1" x14ac:dyDescent="0.5">
      <c r="A294" s="2">
        <f t="shared" si="5"/>
        <v>292</v>
      </c>
      <c r="B294" s="5" t="s">
        <v>273</v>
      </c>
      <c r="C294" s="5" t="s">
        <v>678</v>
      </c>
      <c r="D294" s="5" t="s">
        <v>275</v>
      </c>
      <c r="E294" s="5" t="s">
        <v>619</v>
      </c>
      <c r="F294" s="4" t="s">
        <v>302</v>
      </c>
      <c r="G294" s="5"/>
      <c r="H294" s="6">
        <v>0</v>
      </c>
      <c r="I294" s="6">
        <v>0</v>
      </c>
      <c r="J294" s="23" t="e">
        <f>IF(#REF!&lt;&gt;0,3/#REF!,"N/A")</f>
        <v>#REF!</v>
      </c>
      <c r="K294" s="5"/>
      <c r="L294" s="5" t="s">
        <v>635</v>
      </c>
    </row>
    <row r="295" spans="1:12" x14ac:dyDescent="0.45">
      <c r="A295" s="2">
        <f t="shared" si="5"/>
        <v>293</v>
      </c>
      <c r="B295" s="18" t="s">
        <v>276</v>
      </c>
      <c r="C295" s="18" t="s">
        <v>684</v>
      </c>
      <c r="D295" s="18" t="s">
        <v>359</v>
      </c>
      <c r="E295" s="18" t="s">
        <v>623</v>
      </c>
      <c r="F295" s="17" t="s">
        <v>302</v>
      </c>
      <c r="G295" s="18"/>
      <c r="H295" s="19">
        <v>-0.77812499999999996</v>
      </c>
      <c r="I295" s="19">
        <v>3.515625E-2</v>
      </c>
      <c r="J295" s="26" t="e">
        <f>IF(#REF!&lt;&gt;0,3/#REF!,"N/A")</f>
        <v>#REF!</v>
      </c>
      <c r="K295" s="18"/>
      <c r="L295" s="18" t="s">
        <v>635</v>
      </c>
    </row>
    <row r="296" spans="1:12" ht="14.65" thickBot="1" x14ac:dyDescent="0.5">
      <c r="A296" s="2">
        <f t="shared" si="5"/>
        <v>294</v>
      </c>
      <c r="B296" s="5" t="s">
        <v>276</v>
      </c>
      <c r="C296" s="5" t="s">
        <v>643</v>
      </c>
      <c r="D296" s="5" t="s">
        <v>278</v>
      </c>
      <c r="E296" s="5" t="s">
        <v>535</v>
      </c>
      <c r="F296" s="4" t="s">
        <v>302</v>
      </c>
      <c r="G296" s="5"/>
      <c r="H296" s="6">
        <v>-0.826954434020021</v>
      </c>
      <c r="I296" s="6">
        <v>1.5896229075411601</v>
      </c>
      <c r="J296" s="23" t="e">
        <f>IF(#REF!&lt;&gt;0,3/#REF!,"N/A")</f>
        <v>#REF!</v>
      </c>
      <c r="K296" s="5"/>
      <c r="L296" s="5" t="s">
        <v>635</v>
      </c>
    </row>
    <row r="297" spans="1:12" x14ac:dyDescent="0.45">
      <c r="A297" s="2">
        <f t="shared" si="5"/>
        <v>295</v>
      </c>
      <c r="B297" t="s">
        <v>276</v>
      </c>
      <c r="C297" s="21" t="s">
        <v>684</v>
      </c>
      <c r="D297" t="s">
        <v>279</v>
      </c>
      <c r="E297" t="s">
        <v>621</v>
      </c>
      <c r="F297" s="2" t="s">
        <v>302</v>
      </c>
      <c r="H297" s="3">
        <v>-3.1848898182744501</v>
      </c>
      <c r="I297" s="3">
        <v>-0.196294466403164</v>
      </c>
      <c r="J297" s="13" t="e">
        <f>IF(#REF!&lt;&gt;0,3/#REF!,"N/A")</f>
        <v>#REF!</v>
      </c>
      <c r="L297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277</v>
      </c>
      <c r="E298" t="s">
        <v>620</v>
      </c>
      <c r="F298" s="2" t="s">
        <v>302</v>
      </c>
      <c r="H298" s="3">
        <v>-3.14831538728725</v>
      </c>
      <c r="I298" s="3">
        <v>8.3362278568941406E-3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t="s">
        <v>643</v>
      </c>
      <c r="D299" t="s">
        <v>280</v>
      </c>
      <c r="E299" t="s">
        <v>644</v>
      </c>
      <c r="F299" s="2" t="s">
        <v>302</v>
      </c>
      <c r="G299" t="s">
        <v>357</v>
      </c>
      <c r="H299" s="3">
        <v>-0.47339389427906398</v>
      </c>
      <c r="I299" s="3">
        <v>4.7485146095140003E-4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s="21" t="s">
        <v>684</v>
      </c>
      <c r="D300" t="s">
        <v>281</v>
      </c>
      <c r="E300" t="s">
        <v>622</v>
      </c>
      <c r="F300" s="2" t="s">
        <v>302</v>
      </c>
      <c r="H300" s="3">
        <v>1.5392416007905101</v>
      </c>
      <c r="I300" s="3">
        <v>1.91370223978919E-2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t="s">
        <v>643</v>
      </c>
      <c r="D301" t="s">
        <v>282</v>
      </c>
      <c r="E301" t="s">
        <v>537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635</v>
      </c>
    </row>
    <row r="302" spans="1:12" s="18" customFormat="1" x14ac:dyDescent="0.45">
      <c r="A302" s="2">
        <f t="shared" si="5"/>
        <v>300</v>
      </c>
      <c r="B302" s="15" t="s">
        <v>276</v>
      </c>
      <c r="C302" s="15" t="s">
        <v>643</v>
      </c>
      <c r="D302" s="15" t="s">
        <v>283</v>
      </c>
      <c r="E302" s="15" t="s">
        <v>538</v>
      </c>
      <c r="F302" s="7" t="s">
        <v>302</v>
      </c>
      <c r="G302" s="15" t="s">
        <v>358</v>
      </c>
      <c r="H302" s="20">
        <v>0</v>
      </c>
      <c r="I302" s="20">
        <v>0</v>
      </c>
      <c r="J302" s="24" t="e">
        <f>IF(#REF!&lt;&gt;0,3/#REF!,"N/A")</f>
        <v>#REF!</v>
      </c>
      <c r="K302" s="15"/>
      <c r="L302" s="15" t="s">
        <v>635</v>
      </c>
    </row>
    <row r="303" spans="1:12" x14ac:dyDescent="0.45">
      <c r="A303" s="2">
        <f t="shared" si="5"/>
        <v>301</v>
      </c>
      <c r="B303" t="s">
        <v>284</v>
      </c>
      <c r="C303" t="s">
        <v>683</v>
      </c>
      <c r="D303" t="s">
        <v>285</v>
      </c>
      <c r="E303" t="s">
        <v>624</v>
      </c>
      <c r="F303" s="2" t="s">
        <v>302</v>
      </c>
      <c r="H303">
        <v>1.5315544451803</v>
      </c>
      <c r="I303" s="3">
        <v>3.53980226158776E-2</v>
      </c>
      <c r="J303" s="13" t="e">
        <f>IF(#REF!&lt;&gt;0,3/#REF!,"N/A")</f>
        <v>#REF!</v>
      </c>
      <c r="L303" t="s">
        <v>635</v>
      </c>
    </row>
    <row r="304" spans="1:12" ht="14.65" thickBot="1" x14ac:dyDescent="0.5">
      <c r="A304" s="2">
        <f t="shared" si="5"/>
        <v>302</v>
      </c>
      <c r="B304" s="5" t="s">
        <v>284</v>
      </c>
      <c r="C304" s="5" t="s">
        <v>683</v>
      </c>
      <c r="D304" s="5" t="s">
        <v>287</v>
      </c>
      <c r="E304" s="5" t="s">
        <v>626</v>
      </c>
      <c r="F304" s="4" t="s">
        <v>302</v>
      </c>
      <c r="G304" s="5"/>
      <c r="H304" s="6">
        <v>0</v>
      </c>
      <c r="I304" s="6">
        <v>0</v>
      </c>
      <c r="J304" s="23" t="e">
        <f>IF(#REF!&lt;&gt;0,3/#REF!,"N/A")</f>
        <v>#REF!</v>
      </c>
      <c r="K304" s="5"/>
      <c r="L304" s="5" t="s">
        <v>635</v>
      </c>
    </row>
    <row r="305" spans="1:12" x14ac:dyDescent="0.45">
      <c r="A305" s="2">
        <f t="shared" si="5"/>
        <v>303</v>
      </c>
      <c r="B305" s="15" t="s">
        <v>284</v>
      </c>
      <c r="C305" s="15" t="s">
        <v>683</v>
      </c>
      <c r="D305" s="15" t="s">
        <v>286</v>
      </c>
      <c r="E305" s="15" t="s">
        <v>625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15" t="s">
        <v>635</v>
      </c>
    </row>
    <row r="306" spans="1:12" x14ac:dyDescent="0.45">
      <c r="A306" s="2">
        <f t="shared" si="5"/>
        <v>304</v>
      </c>
      <c r="B306" t="s">
        <v>284</v>
      </c>
      <c r="C306" t="s">
        <v>683</v>
      </c>
      <c r="D306" t="s">
        <v>288</v>
      </c>
      <c r="E306" t="s">
        <v>627</v>
      </c>
      <c r="F306" s="2" t="s">
        <v>302</v>
      </c>
      <c r="H306" s="3">
        <v>-5.5853884353168397E-2</v>
      </c>
      <c r="I306" s="3">
        <v>1.89764329601885E-2</v>
      </c>
      <c r="J306" s="13" t="e">
        <f>IF(#REF!&lt;&gt;0,3/#REF!,"N/A")</f>
        <v>#REF!</v>
      </c>
      <c r="L306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289</v>
      </c>
      <c r="E307" t="s">
        <v>628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291</v>
      </c>
      <c r="E308" t="s">
        <v>630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290</v>
      </c>
      <c r="E309" t="s">
        <v>629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292</v>
      </c>
      <c r="E310" t="s">
        <v>631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293</v>
      </c>
      <c r="E311" t="s">
        <v>632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294</v>
      </c>
      <c r="E312" t="s">
        <v>536</v>
      </c>
      <c r="F312" s="2" t="s">
        <v>302</v>
      </c>
      <c r="H312" s="3">
        <v>-0.79706422018348599</v>
      </c>
      <c r="I312" s="3">
        <v>1.1009174311926201E-3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s="15" t="s">
        <v>284</v>
      </c>
      <c r="C313" s="15" t="s">
        <v>683</v>
      </c>
      <c r="D313" s="15" t="s">
        <v>296</v>
      </c>
      <c r="E313" s="15" t="s">
        <v>634</v>
      </c>
      <c r="F313" s="7" t="s">
        <v>302</v>
      </c>
      <c r="G313" s="15"/>
      <c r="H313" s="20">
        <v>1.32110091743115E-2</v>
      </c>
      <c r="I313" s="20">
        <v>5.72477064220187E-2</v>
      </c>
      <c r="J313" s="24" t="e">
        <f>IF(#REF!&lt;&gt;0,3/#REF!,"N/A")</f>
        <v>#REF!</v>
      </c>
      <c r="K313" s="15"/>
      <c r="L313" s="15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295</v>
      </c>
      <c r="E314" t="s">
        <v>633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21" spans="7:7" x14ac:dyDescent="0.45">
      <c r="G321">
        <f>294-244</f>
        <v>50</v>
      </c>
    </row>
  </sheetData>
  <autoFilter ref="A1:L314" xr:uid="{DDCD0A24-47A3-4D2D-80DF-18729F910C8C}">
    <sortState ref="A2:L314">
      <sortCondition ref="B1:B314"/>
    </sortState>
  </autoFilter>
  <conditionalFormatting sqref="F78 F124:F141 F165:F171 F173:F175 F177:F184 F217:F223 F225:F227 F229:F231 F233:F241 F243:F249 F251:F257 F259:F265 F267:F271 F273:F285 F289:F293 F295 F58:F60 F186:F207 F297:F303 F62:F66 F305:F314 F42 F49:F53 F47 F143:F162">
    <cfRule type="cellIs" dxfId="117" priority="191" operator="equal">
      <formula>"Fail"</formula>
    </cfRule>
    <cfRule type="cellIs" dxfId="116" priority="192" operator="equal">
      <formula>"Pass"</formula>
    </cfRule>
  </conditionalFormatting>
  <conditionalFormatting sqref="F209:F215">
    <cfRule type="cellIs" dxfId="115" priority="121" operator="equal">
      <formula>"Fail"</formula>
    </cfRule>
    <cfRule type="cellIs" dxfId="114" priority="122" operator="equal">
      <formula>"Pass"</formula>
    </cfRule>
  </conditionalFormatting>
  <conditionalFormatting sqref="F164">
    <cfRule type="cellIs" dxfId="113" priority="157" operator="equal">
      <formula>"Fail"</formula>
    </cfRule>
    <cfRule type="cellIs" dxfId="112" priority="158" operator="equal">
      <formula>"Pass"</formula>
    </cfRule>
  </conditionalFormatting>
  <conditionalFormatting sqref="F272">
    <cfRule type="cellIs" dxfId="109" priority="133" operator="equal">
      <formula>"Fail"</formula>
    </cfRule>
    <cfRule type="cellIs" dxfId="108" priority="134" operator="equal">
      <formula>"Pass"</formula>
    </cfRule>
  </conditionalFormatting>
  <conditionalFormatting sqref="F288">
    <cfRule type="cellIs" dxfId="107" priority="131" operator="equal">
      <formula>"Fail"</formula>
    </cfRule>
    <cfRule type="cellIs" dxfId="106" priority="132" operator="equal">
      <formula>"Pass"</formula>
    </cfRule>
  </conditionalFormatting>
  <conditionalFormatting sqref="F2:F8 F89:F92 F97:F113">
    <cfRule type="cellIs" dxfId="105" priority="117" operator="equal">
      <formula>"Fail"</formula>
    </cfRule>
    <cfRule type="cellIs" dxfId="104" priority="118" operator="equal">
      <formula>"Pass"</formula>
    </cfRule>
  </conditionalFormatting>
  <conditionalFormatting sqref="F9:F13 F15:F17">
    <cfRule type="cellIs" dxfId="103" priority="115" operator="equal">
      <formula>"Fail"</formula>
    </cfRule>
    <cfRule type="cellIs" dxfId="102" priority="116" operator="equal">
      <formula>"Pass"</formula>
    </cfRule>
  </conditionalFormatting>
  <conditionalFormatting sqref="F114">
    <cfRule type="cellIs" dxfId="101" priority="49" operator="equal">
      <formula>"Fail"</formula>
    </cfRule>
    <cfRule type="cellIs" dxfId="100" priority="50" operator="equal">
      <formula>"Pass"</formula>
    </cfRule>
  </conditionalFormatting>
  <conditionalFormatting sqref="F142">
    <cfRule type="cellIs" dxfId="99" priority="45" operator="equal">
      <formula>"Fail"</formula>
    </cfRule>
    <cfRule type="cellIs" dxfId="98" priority="46" operator="equal">
      <formula>"Pass"</formula>
    </cfRule>
  </conditionalFormatting>
  <conditionalFormatting sqref="F19">
    <cfRule type="cellIs" dxfId="97" priority="107" operator="equal">
      <formula>"Fail"</formula>
    </cfRule>
    <cfRule type="cellIs" dxfId="96" priority="108" operator="equal">
      <formula>"Pass"</formula>
    </cfRule>
  </conditionalFormatting>
  <conditionalFormatting sqref="F21:F31">
    <cfRule type="cellIs" dxfId="95" priority="105" operator="equal">
      <formula>"Fail"</formula>
    </cfRule>
    <cfRule type="cellIs" dxfId="94" priority="106" operator="equal">
      <formula>"Pass"</formula>
    </cfRule>
  </conditionalFormatting>
  <conditionalFormatting sqref="F33:F35">
    <cfRule type="cellIs" dxfId="93" priority="103" operator="equal">
      <formula>"Fail"</formula>
    </cfRule>
    <cfRule type="cellIs" dxfId="92" priority="104" operator="equal">
      <formula>"Pass"</formula>
    </cfRule>
  </conditionalFormatting>
  <conditionalFormatting sqref="F41">
    <cfRule type="cellIs" dxfId="91" priority="101" operator="equal">
      <formula>"Fail"</formula>
    </cfRule>
    <cfRule type="cellIs" dxfId="90" priority="102" operator="equal">
      <formula>"Pass"</formula>
    </cfRule>
  </conditionalFormatting>
  <conditionalFormatting sqref="F44">
    <cfRule type="cellIs" dxfId="89" priority="99" operator="equal">
      <formula>"Fail"</formula>
    </cfRule>
    <cfRule type="cellIs" dxfId="88" priority="100" operator="equal">
      <formula>"Pass"</formula>
    </cfRule>
  </conditionalFormatting>
  <conditionalFormatting sqref="F67:F72">
    <cfRule type="cellIs" dxfId="87" priority="97" operator="equal">
      <formula>"Fail"</formula>
    </cfRule>
    <cfRule type="cellIs" dxfId="86" priority="98" operator="equal">
      <formula>"Pass"</formula>
    </cfRule>
  </conditionalFormatting>
  <conditionalFormatting sqref="F74:F75">
    <cfRule type="cellIs" dxfId="85" priority="95" operator="equal">
      <formula>"Fail"</formula>
    </cfRule>
    <cfRule type="cellIs" dxfId="84" priority="96" operator="equal">
      <formula>"Pass"</formula>
    </cfRule>
  </conditionalFormatting>
  <conditionalFormatting sqref="F77">
    <cfRule type="cellIs" dxfId="83" priority="93" operator="equal">
      <formula>"Fail"</formula>
    </cfRule>
    <cfRule type="cellIs" dxfId="82" priority="94" operator="equal">
      <formula>"Pass"</formula>
    </cfRule>
  </conditionalFormatting>
  <conditionalFormatting sqref="F79:F84 F86:F87">
    <cfRule type="cellIs" dxfId="81" priority="91" operator="equal">
      <formula>"Fail"</formula>
    </cfRule>
    <cfRule type="cellIs" dxfId="80" priority="92" operator="equal">
      <formula>"Pass"</formula>
    </cfRule>
  </conditionalFormatting>
  <conditionalFormatting sqref="F85">
    <cfRule type="cellIs" dxfId="79" priority="89" operator="equal">
      <formula>"Fail"</formula>
    </cfRule>
    <cfRule type="cellIs" dxfId="78" priority="90" operator="equal">
      <formula>"Pass"</formula>
    </cfRule>
  </conditionalFormatting>
  <conditionalFormatting sqref="F94:F95">
    <cfRule type="cellIs" dxfId="77" priority="87" operator="equal">
      <formula>"Fail"</formula>
    </cfRule>
    <cfRule type="cellIs" dxfId="76" priority="88" operator="equal">
      <formula>"Pass"</formula>
    </cfRule>
  </conditionalFormatting>
  <conditionalFormatting sqref="F115:F118">
    <cfRule type="cellIs" dxfId="75" priority="83" operator="equal">
      <formula>"Fail"</formula>
    </cfRule>
    <cfRule type="cellIs" dxfId="74" priority="84" operator="equal">
      <formula>"Pass"</formula>
    </cfRule>
  </conditionalFormatting>
  <conditionalFormatting sqref="F120:F123">
    <cfRule type="cellIs" dxfId="73" priority="81" operator="equal">
      <formula>"Fail"</formula>
    </cfRule>
    <cfRule type="cellIs" dxfId="72" priority="82" operator="equal">
      <formula>"Pass"</formula>
    </cfRule>
  </conditionalFormatting>
  <conditionalFormatting sqref="F185">
    <cfRule type="cellIs" dxfId="71" priority="79" operator="equal">
      <formula>"Fail"</formula>
    </cfRule>
    <cfRule type="cellIs" dxfId="70" priority="80" operator="equal">
      <formula>"Pass"</formula>
    </cfRule>
  </conditionalFormatting>
  <conditionalFormatting sqref="F14">
    <cfRule type="cellIs" dxfId="69" priority="77" operator="equal">
      <formula>"Fail"</formula>
    </cfRule>
    <cfRule type="cellIs" dxfId="68" priority="78" operator="equal">
      <formula>"Pass"</formula>
    </cfRule>
  </conditionalFormatting>
  <conditionalFormatting sqref="F18">
    <cfRule type="cellIs" dxfId="67" priority="75" operator="equal">
      <formula>"Fail"</formula>
    </cfRule>
    <cfRule type="cellIs" dxfId="66" priority="76" operator="equal">
      <formula>"Pass"</formula>
    </cfRule>
  </conditionalFormatting>
  <conditionalFormatting sqref="F20">
    <cfRule type="cellIs" dxfId="65" priority="73" operator="equal">
      <formula>"Fail"</formula>
    </cfRule>
    <cfRule type="cellIs" dxfId="64" priority="74" operator="equal">
      <formula>"Pass"</formula>
    </cfRule>
  </conditionalFormatting>
  <conditionalFormatting sqref="F32">
    <cfRule type="cellIs" dxfId="63" priority="71" operator="equal">
      <formula>"Fail"</formula>
    </cfRule>
    <cfRule type="cellIs" dxfId="62" priority="72" operator="equal">
      <formula>"Pass"</formula>
    </cfRule>
  </conditionalFormatting>
  <conditionalFormatting sqref="F36:F40">
    <cfRule type="cellIs" dxfId="61" priority="69" operator="equal">
      <formula>"Fail"</formula>
    </cfRule>
    <cfRule type="cellIs" dxfId="60" priority="70" operator="equal">
      <formula>"Pass"</formula>
    </cfRule>
  </conditionalFormatting>
  <conditionalFormatting sqref="F45">
    <cfRule type="cellIs" dxfId="59" priority="67" operator="equal">
      <formula>"Fail"</formula>
    </cfRule>
    <cfRule type="cellIs" dxfId="58" priority="68" operator="equal">
      <formula>"Pass"</formula>
    </cfRule>
  </conditionalFormatting>
  <conditionalFormatting sqref="F46">
    <cfRule type="cellIs" dxfId="57" priority="65" operator="equal">
      <formula>"Fail"</formula>
    </cfRule>
    <cfRule type="cellIs" dxfId="56" priority="66" operator="equal">
      <formula>"Pass"</formula>
    </cfRule>
  </conditionalFormatting>
  <conditionalFormatting sqref="F54:F57">
    <cfRule type="cellIs" dxfId="55" priority="63" operator="equal">
      <formula>"Fail"</formula>
    </cfRule>
    <cfRule type="cellIs" dxfId="54" priority="64" operator="equal">
      <formula>"Pass"</formula>
    </cfRule>
  </conditionalFormatting>
  <conditionalFormatting sqref="F61">
    <cfRule type="cellIs" dxfId="53" priority="61" operator="equal">
      <formula>"Fail"</formula>
    </cfRule>
    <cfRule type="cellIs" dxfId="52" priority="62" operator="equal">
      <formula>"Pass"</formula>
    </cfRule>
  </conditionalFormatting>
  <conditionalFormatting sqref="F73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76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88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96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119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F163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7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4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78 F42:F43 F45:F66 F124:F314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2026-06-09T02:37:28Z</dcterms:modified>
</cp:coreProperties>
</file>