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\source\repos\ManpLab\ManpWinUI\Documentation\Architecture\"/>
    </mc:Choice>
  </mc:AlternateContent>
  <xr:revisionPtr revIDLastSave="0" documentId="13_ncr:1_{F11D962F-D2FF-41D0-8545-3B3FD83D031B}" xr6:coauthVersionLast="36" xr6:coauthVersionMax="36" xr10:uidLastSave="{00000000-0000-0000-0000-000000000000}"/>
  <bookViews>
    <workbookView xWindow="0" yWindow="0" windowWidth="10575" windowHeight="12015" tabRatio="172" xr2:uid="{00000000-000D-0000-FFFF-FFFF00000000}"/>
  </bookViews>
  <sheets>
    <sheet name="FractalRegistry" sheetId="1" r:id="rId1"/>
    <sheet name="Sheet1" sheetId="2" r:id="rId2"/>
  </sheets>
  <definedNames>
    <definedName name="_xlnm._FilterDatabase" localSheetId="0" hidden="1">FractalRegistry!$A$1:$L$305</definedName>
    <definedName name="Data">FractalRegistry!$A$1:$L$305</definedName>
  </definedNames>
  <calcPr calcId="191029"/>
</workbook>
</file>

<file path=xl/calcChain.xml><?xml version="1.0" encoding="utf-8"?>
<calcChain xmlns="http://schemas.openxmlformats.org/spreadsheetml/2006/main">
  <c r="A48" i="1" l="1"/>
  <c r="A49" i="1"/>
  <c r="A50" i="1"/>
  <c r="A51" i="1"/>
  <c r="A52" i="1" s="1"/>
  <c r="A53" i="1" s="1"/>
  <c r="A54" i="1" s="1"/>
  <c r="J276" i="1" l="1"/>
  <c r="J304" i="1" l="1"/>
  <c r="J305" i="1"/>
  <c r="J303" i="1"/>
  <c r="J302" i="1"/>
  <c r="J301" i="1"/>
  <c r="J299" i="1"/>
  <c r="J300" i="1"/>
  <c r="J298" i="1"/>
  <c r="J297" i="1"/>
  <c r="J295" i="1"/>
  <c r="J296" i="1"/>
  <c r="J294" i="1"/>
  <c r="J293" i="1"/>
  <c r="J292" i="1"/>
  <c r="J286" i="1"/>
  <c r="J291" i="1"/>
  <c r="J290" i="1"/>
  <c r="J288" i="1"/>
  <c r="J287" i="1"/>
  <c r="J289" i="1"/>
  <c r="J285" i="1"/>
  <c r="J284" i="1"/>
  <c r="J283" i="1"/>
  <c r="J282" i="1"/>
  <c r="J281" i="1"/>
  <c r="J280" i="1"/>
  <c r="J279" i="1"/>
  <c r="J278" i="1"/>
  <c r="J272" i="1"/>
  <c r="J271" i="1"/>
  <c r="J270" i="1"/>
  <c r="J268" i="1"/>
  <c r="J265" i="1"/>
  <c r="J262" i="1"/>
  <c r="J261" i="1"/>
  <c r="J260" i="1"/>
  <c r="J258" i="1"/>
  <c r="J257" i="1"/>
  <c r="J259" i="1"/>
  <c r="J254" i="1"/>
  <c r="J256" i="1"/>
  <c r="J255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7" i="1"/>
  <c r="J236" i="1"/>
  <c r="J235" i="1"/>
  <c r="J238" i="1"/>
  <c r="J234" i="1"/>
  <c r="J233" i="1"/>
  <c r="J232" i="1"/>
  <c r="J231" i="1"/>
  <c r="J230" i="1"/>
  <c r="J229" i="1"/>
  <c r="J228" i="1"/>
  <c r="J225" i="1"/>
  <c r="J227" i="1"/>
  <c r="J226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87" i="1"/>
  <c r="J186" i="1"/>
  <c r="J185" i="1"/>
  <c r="J190" i="1"/>
  <c r="J189" i="1"/>
  <c r="J188" i="1"/>
  <c r="J184" i="1"/>
  <c r="J183" i="1"/>
  <c r="J182" i="1"/>
  <c r="J181" i="1"/>
  <c r="J180" i="1"/>
  <c r="J177" i="1"/>
  <c r="J178" i="1"/>
  <c r="J179" i="1"/>
  <c r="J176" i="1"/>
  <c r="J175" i="1"/>
  <c r="J174" i="1"/>
  <c r="J173" i="1"/>
  <c r="J172" i="1"/>
  <c r="J170" i="1"/>
  <c r="J171" i="1"/>
  <c r="J168" i="1"/>
  <c r="J169" i="1"/>
  <c r="J167" i="1"/>
  <c r="J166" i="1"/>
  <c r="J165" i="1"/>
  <c r="J164" i="1"/>
  <c r="J163" i="1"/>
  <c r="J162" i="1"/>
  <c r="J161" i="1"/>
  <c r="J160" i="1"/>
  <c r="J156" i="1"/>
  <c r="J155" i="1"/>
  <c r="J154" i="1"/>
  <c r="J153" i="1"/>
  <c r="J152" i="1"/>
  <c r="J140" i="1"/>
  <c r="J139" i="1"/>
  <c r="J151" i="1"/>
  <c r="J159" i="1"/>
  <c r="J158" i="1"/>
  <c r="J150" i="1"/>
  <c r="J157" i="1"/>
  <c r="J149" i="1"/>
  <c r="J148" i="1"/>
  <c r="J147" i="1"/>
  <c r="J146" i="1"/>
  <c r="J145" i="1"/>
  <c r="J144" i="1"/>
  <c r="J143" i="1"/>
  <c r="J142" i="1"/>
  <c r="J141" i="1"/>
  <c r="J138" i="1"/>
  <c r="J137" i="1"/>
  <c r="J135" i="1"/>
  <c r="J136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5" i="1"/>
  <c r="J96" i="1"/>
  <c r="J94" i="1"/>
  <c r="J93" i="1"/>
  <c r="J92" i="1"/>
  <c r="J91" i="1"/>
  <c r="J90" i="1"/>
  <c r="J85" i="1"/>
  <c r="J89" i="1"/>
  <c r="J88" i="1"/>
  <c r="J87" i="1"/>
  <c r="J86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G312" i="1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l="1"/>
  <c r="A43" i="1" s="1"/>
  <c r="A44" i="1" s="1"/>
  <c r="A45" i="1" s="1"/>
  <c r="A46" i="1" s="1"/>
  <c r="A47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</calcChain>
</file>

<file path=xl/sharedStrings.xml><?xml version="1.0" encoding="utf-8"?>
<sst xmlns="http://schemas.openxmlformats.org/spreadsheetml/2006/main" count="1850" uniqueCount="715">
  <si>
    <t>Group Name</t>
  </si>
  <si>
    <t>Attractors</t>
  </si>
  <si>
    <t>Aizawa Attractor</t>
  </si>
  <si>
    <t>Chen-Lee Attractor</t>
  </si>
  <si>
    <t>Dadras Attractor</t>
  </si>
  <si>
    <t>Halvorsen Attractor</t>
  </si>
  <si>
    <t>Lorenz Attractor</t>
  </si>
  <si>
    <t>Pickover Attractor</t>
  </si>
  <si>
    <t>Thomas Attractor</t>
  </si>
  <si>
    <t>Barnsley</t>
  </si>
  <si>
    <t>Barnsley J1</t>
  </si>
  <si>
    <t>Barnsley J2</t>
  </si>
  <si>
    <t>Barnsley J3</t>
  </si>
  <si>
    <t>Barnsley M1</t>
  </si>
  <si>
    <t>Barnsley M2</t>
  </si>
  <si>
    <t>Barnsley M3</t>
  </si>
  <si>
    <t>Bifurcation</t>
  </si>
  <si>
    <t>Henon Parameter Space</t>
  </si>
  <si>
    <t>Lambda Parameter Space</t>
  </si>
  <si>
    <t>Mandelbrot Parameter Space</t>
  </si>
  <si>
    <t>Orbit Diagram</t>
  </si>
  <si>
    <t>Burning Ship Family</t>
  </si>
  <si>
    <t>Burning Ship (Power 3)</t>
  </si>
  <si>
    <t>Burning Ship (Power 4)</t>
  </si>
  <si>
    <t>Burning Ship Variants</t>
  </si>
  <si>
    <t>Bird of Prey</t>
  </si>
  <si>
    <t>Buffalo Burning Ship</t>
  </si>
  <si>
    <t>Burning Ship Cubic</t>
  </si>
  <si>
    <t>Burning Ship Quartic</t>
  </si>
  <si>
    <t>Burning Ship Quintic</t>
  </si>
  <si>
    <t>Celtic Burning Ship</t>
  </si>
  <si>
    <t>Diagonal Burning Ship</t>
  </si>
  <si>
    <t>Partial Burning Ship</t>
  </si>
  <si>
    <t>Perpendicular Burning Ship</t>
  </si>
  <si>
    <t>Reverse Burning Ship</t>
  </si>
  <si>
    <t>Shark Burning Ship</t>
  </si>
  <si>
    <t>Vertical Burning Ship</t>
  </si>
  <si>
    <t>Chaotic Maps</t>
  </si>
  <si>
    <t>Arneodo Attractor</t>
  </si>
  <si>
    <t>Liu-Chen Attractor</t>
  </si>
  <si>
    <t>Rabinovich-Fabrikant Attractor</t>
  </si>
  <si>
    <t>Sprott B Attractor</t>
  </si>
  <si>
    <t>Classic Fractals</t>
  </si>
  <si>
    <t>Lambda</t>
  </si>
  <si>
    <t>Mandelbrot Set</t>
  </si>
  <si>
    <t>Mandel-Lambda</t>
  </si>
  <si>
    <t>Tetrate</t>
  </si>
  <si>
    <t>Unity</t>
  </si>
  <si>
    <t>Complex Functions</t>
  </si>
  <si>
    <t>cos(z)/tan(z)</t>
  </si>
  <si>
    <t>Square + Trig</t>
  </si>
  <si>
    <t>Tetration (z^z)</t>
  </si>
  <si>
    <t>Trig + Trig</t>
  </si>
  <si>
    <t>Trig Squared</t>
  </si>
  <si>
    <t>Distance Estimator</t>
  </si>
  <si>
    <t>Burning Ship (Distance Estimator)</t>
  </si>
  <si>
    <t>Julia (Distance Estimator)</t>
  </si>
  <si>
    <t>Mandelbrot (Distance Estimator)</t>
  </si>
  <si>
    <t>Tricorn (Distance Estimator)</t>
  </si>
  <si>
    <t>Exotic</t>
  </si>
  <si>
    <t>Buffalo Fractal</t>
  </si>
  <si>
    <t>Celtic Mandelbrot</t>
  </si>
  <si>
    <t>Heart Mandelbrot</t>
  </si>
  <si>
    <t>Perpendicular Mandelbrot</t>
  </si>
  <si>
    <t>Quasi-Perpendicular</t>
  </si>
  <si>
    <t>Shark Fin</t>
  </si>
  <si>
    <t>Wavy</t>
  </si>
  <si>
    <t>Zubieta</t>
  </si>
  <si>
    <t>Exotic Fractals</t>
  </si>
  <si>
    <t>Magnet I</t>
  </si>
  <si>
    <t>Magnet II</t>
  </si>
  <si>
    <t>Phoenix Fractal</t>
  </si>
  <si>
    <t>Exponential Fractals</t>
  </si>
  <si>
    <t>Complex Power</t>
  </si>
  <si>
    <t>Exponential Fractal</t>
  </si>
  <si>
    <t>Exponential Julia</t>
  </si>
  <si>
    <t>Exponential Square</t>
  </si>
  <si>
    <t>Lambda Lambda Exponential</t>
  </si>
  <si>
    <t>Lambda Mandel Exponential</t>
  </si>
  <si>
    <t>Logarithm Fractal</t>
  </si>
  <si>
    <t>Logarithmic Mandelbrot</t>
  </si>
  <si>
    <t>Mandelbrot Exponential</t>
  </si>
  <si>
    <t>Power Tower (z^z)</t>
  </si>
  <si>
    <t>z^z + c</t>
  </si>
  <si>
    <t>Historical Fractals</t>
  </si>
  <si>
    <t>Chip Map</t>
  </si>
  <si>
    <t>Collatz Fractal</t>
  </si>
  <si>
    <t>Duffing Map</t>
  </si>
  <si>
    <t>Martin Map</t>
  </si>
  <si>
    <t>Pickover Biomorphs</t>
  </si>
  <si>
    <t>Pickover Stalks</t>
  </si>
  <si>
    <t>Quaternion Julia (2D slice)</t>
  </si>
  <si>
    <t>Sinusoidal Fractal</t>
  </si>
  <si>
    <t>Hybrid Fractals</t>
  </si>
  <si>
    <t>Bifurcation-Mandelbrot</t>
  </si>
  <si>
    <t>Burning Mandelbrot Hybrid</t>
  </si>
  <si>
    <t>Celtic Mandelbrot (Hybrid)</t>
  </si>
  <si>
    <t>Celtic-Burning Ship Hybrid</t>
  </si>
  <si>
    <t>Collatz-Style Hybrid</t>
  </si>
  <si>
    <t>Exponential-Mandelbrot Blend</t>
  </si>
  <si>
    <t>Exponential-Mandelbrot Hybrid</t>
  </si>
  <si>
    <t>Magnet-Mandelbrot Hybrid</t>
  </si>
  <si>
    <t>Mandelbrot-Burning Ship Hybrid</t>
  </si>
  <si>
    <t>Mandelbrot-Lambda Mix</t>
  </si>
  <si>
    <t>Multi-Power Cycle</t>
  </si>
  <si>
    <t>Mutant Mandelbrot (Power Evolution)</t>
  </si>
  <si>
    <t>Newton-Mandelbrot Blend</t>
  </si>
  <si>
    <t>Perturbed Newton</t>
  </si>
  <si>
    <t>Sierpinski-Mandelbrot Cross</t>
  </si>
  <si>
    <t>Sine-Mandelbrot Hybrid</t>
  </si>
  <si>
    <t>Tricorn-Phoenix Hybrid</t>
  </si>
  <si>
    <t>Trig-Mandelbrot Blend</t>
  </si>
  <si>
    <t>Iterated Function Systems</t>
  </si>
  <si>
    <t>Barnsley Fern (IFS)</t>
  </si>
  <si>
    <t>Dragon Curve (IFS)</t>
  </si>
  <si>
    <t>Pentagon (IFS)</t>
  </si>
  <si>
    <t>Sierpinski Triangle (IFS)</t>
  </si>
  <si>
    <t>Tree (IFS)</t>
  </si>
  <si>
    <t>Julia Presets</t>
  </si>
  <si>
    <t>Julia - Airplane</t>
  </si>
  <si>
    <t>Julia - Backbone</t>
  </si>
  <si>
    <t>Julia - Cauliflower</t>
  </si>
  <si>
    <t>Julia - Crystal</t>
  </si>
  <si>
    <t>Julia - Dendrite (Preset)</t>
  </si>
  <si>
    <t>Julia - Dragon (Preset)</t>
  </si>
  <si>
    <t>Julia - Eye</t>
  </si>
  <si>
    <t>Julia - Feigenbaum Point</t>
  </si>
  <si>
    <t>Julia - Flower</t>
  </si>
  <si>
    <t>Julia - Fractal Tree</t>
  </si>
  <si>
    <t>Julia - Fuzzy Blob</t>
  </si>
  <si>
    <t>Julia - Golden Ratio</t>
  </si>
  <si>
    <t>Julia - Heart</t>
  </si>
  <si>
    <t>Julia - Lightning</t>
  </si>
  <si>
    <t>Julia - Medusa</t>
  </si>
  <si>
    <t>Julia - Neurons</t>
  </si>
  <si>
    <t>Julia - Paisley</t>
  </si>
  <si>
    <t>Julia - Seahorse Valley</t>
  </si>
  <si>
    <t>Julia - Snowflake</t>
  </si>
  <si>
    <t>Julia - Spiral (Preset)</t>
  </si>
  <si>
    <t>Julia - Spiral Galaxy</t>
  </si>
  <si>
    <t>Julia - Triple Spiral</t>
  </si>
  <si>
    <t>Julia - Twisted Cross</t>
  </si>
  <si>
    <t>Julia Sets</t>
  </si>
  <si>
    <t>Julia - Burning Ship</t>
  </si>
  <si>
    <t>Julia - Classic</t>
  </si>
  <si>
    <t>Julia - Cubic</t>
  </si>
  <si>
    <t>Julia - Custom</t>
  </si>
  <si>
    <t>Julia - Dendrite</t>
  </si>
  <si>
    <t>Julia - Douady Rabbit</t>
  </si>
  <si>
    <t>Julia - Dragon</t>
  </si>
  <si>
    <t>Julia - Exponential</t>
  </si>
  <si>
    <t>Julia - Lambda</t>
  </si>
  <si>
    <t>Julia - Lambda (Alt)</t>
  </si>
  <si>
    <t>Julia - Magnet</t>
  </si>
  <si>
    <t>Julia - Multibrot 3</t>
  </si>
  <si>
    <t>Julia - Multibrot 4</t>
  </si>
  <si>
    <t>Julia - Phoenix</t>
  </si>
  <si>
    <t>Julia - Power 5</t>
  </si>
  <si>
    <t>Julia - Power 6</t>
  </si>
  <si>
    <t>Julia - San Marco</t>
  </si>
  <si>
    <t>Julia - Siegel Disk</t>
  </si>
  <si>
    <t>Julia - Siegel Disk (Alt)</t>
  </si>
  <si>
    <t>Julia - Sine</t>
  </si>
  <si>
    <t>Julia - Spiral</t>
  </si>
  <si>
    <t>Lambda Fractals</t>
  </si>
  <si>
    <t>Lambda Flip</t>
  </si>
  <si>
    <t>Lambda Modified</t>
  </si>
  <si>
    <t>Lambda Phoenix</t>
  </si>
  <si>
    <t>Lambda Power 3</t>
  </si>
  <si>
    <t>Lambda Power 4</t>
  </si>
  <si>
    <t>Lambda Squared</t>
  </si>
  <si>
    <t>Lambda Tan</t>
  </si>
  <si>
    <t>Lambda Tanh</t>
  </si>
  <si>
    <t>Magnet Fractals</t>
  </si>
  <si>
    <t>Magnet I Cubic</t>
  </si>
  <si>
    <t>Magnet I Julia</t>
  </si>
  <si>
    <t>Magnet II Cubic</t>
  </si>
  <si>
    <t>Magnet II Julia</t>
  </si>
  <si>
    <t>Mandelbrot Variants</t>
  </si>
  <si>
    <t>Burning Ship</t>
  </si>
  <si>
    <t>Celtic Heart</t>
  </si>
  <si>
    <t>Heart Mandelbrot (Sine)</t>
  </si>
  <si>
    <t>Julia Power 4</t>
  </si>
  <si>
    <t>Mandelbar</t>
  </si>
  <si>
    <t>Mandelbar (Conjugate)</t>
  </si>
  <si>
    <t>Mandelbrot Power 4</t>
  </si>
  <si>
    <t>Mandelbrot-Lambda</t>
  </si>
  <si>
    <t>Manowar</t>
  </si>
  <si>
    <t>Marks Julia</t>
  </si>
  <si>
    <t>Marks Mandelbrot</t>
  </si>
  <si>
    <t>Marks Mandelbrot (Classic)</t>
  </si>
  <si>
    <t>Multibrot (Power 6)</t>
  </si>
  <si>
    <t>Multibrot (Power 7)</t>
  </si>
  <si>
    <t>Multibrot (Power 8)</t>
  </si>
  <si>
    <t>Perpendicular Mandelbrot (Abs First)</t>
  </si>
  <si>
    <t>Shark Fin Mandelbrot</t>
  </si>
  <si>
    <t>Spider</t>
  </si>
  <si>
    <t>Spider Variant</t>
  </si>
  <si>
    <t>Thorn</t>
  </si>
  <si>
    <t>Thorn (Classic)</t>
  </si>
  <si>
    <t>Tricorn (Mandelbar)</t>
  </si>
  <si>
    <t>Wavy Mandelbrot</t>
  </si>
  <si>
    <t>Newton's Method</t>
  </si>
  <si>
    <t>Newton Cosh</t>
  </si>
  <si>
    <t>Newton Sine</t>
  </si>
  <si>
    <t>Nova</t>
  </si>
  <si>
    <t>Orbit Statistics</t>
  </si>
  <si>
    <t>Angle Average</t>
  </si>
  <si>
    <t>Average Distance</t>
  </si>
  <si>
    <t>Maximum Distance</t>
  </si>
  <si>
    <t>Minimum Distance</t>
  </si>
  <si>
    <t>Orbit Trap</t>
  </si>
  <si>
    <t>Orbit Trap (Circle)</t>
  </si>
  <si>
    <t>Orbit Trap (Cross)</t>
  </si>
  <si>
    <t>Orbit Trap (Point)</t>
  </si>
  <si>
    <t>Orbit Trap (Square)</t>
  </si>
  <si>
    <t>Orbital Advanced</t>
  </si>
  <si>
    <t>Circular Orbit Trap</t>
  </si>
  <si>
    <t>Cross Orbit Trap</t>
  </si>
  <si>
    <t>Delta Magnitude Tracking</t>
  </si>
  <si>
    <t>Orbit Angle Accumulation</t>
  </si>
  <si>
    <t>Orbital Curvature Tracking</t>
  </si>
  <si>
    <t>Point-Line Orbit Trap</t>
  </si>
  <si>
    <t>Smoothed Orbit (Running Average)</t>
  </si>
  <si>
    <t>Stalks (Conditional)</t>
  </si>
  <si>
    <t>Stripe Average Coloring</t>
  </si>
  <si>
    <t>Triangle Orbit Trap</t>
  </si>
  <si>
    <t>Phoenix Fractals</t>
  </si>
  <si>
    <t>Phoenix Complex Feedback</t>
  </si>
  <si>
    <t>Phoenix Cosh</t>
  </si>
  <si>
    <t>Phoenix Cubic</t>
  </si>
  <si>
    <t>Phoenix Julia</t>
  </si>
  <si>
    <t>Phoenix Lambda</t>
  </si>
  <si>
    <t>Phoenix Mandelbrot</t>
  </si>
  <si>
    <t>Phoenix Quartic</t>
  </si>
  <si>
    <t>Phoenix Sine</t>
  </si>
  <si>
    <t>Biomorph</t>
  </si>
  <si>
    <t>Cubic Mandelbrot</t>
  </si>
  <si>
    <t>Quartic Mandelbrot</t>
  </si>
  <si>
    <t>Quintic Mandelbrot</t>
  </si>
  <si>
    <t>Rational R1</t>
  </si>
  <si>
    <t>Sextic Mandelbrot</t>
  </si>
  <si>
    <t>Buffalo (Polynomial)</t>
  </si>
  <si>
    <t>Multibrot-10 (Decic)</t>
  </si>
  <si>
    <t>Multibrot-3 (Cubic)</t>
  </si>
  <si>
    <t>Multibrot-4 (Quartic)</t>
  </si>
  <si>
    <t>Multibrot-5 (Quintic)</t>
  </si>
  <si>
    <t>Multibrot-6 (Sextic)</t>
  </si>
  <si>
    <t>Multibrot-8 (Octic)</t>
  </si>
  <si>
    <t>Tricorn (Polynomial)</t>
  </si>
  <si>
    <t>Rational Function Fractals</t>
  </si>
  <si>
    <t>Special</t>
  </si>
  <si>
    <t>2-D Hailstone Trajectory</t>
  </si>
  <si>
    <t>Buddhabrot</t>
  </si>
  <si>
    <t>Hailstone Sequence</t>
  </si>
  <si>
    <t>Lyapunov</t>
  </si>
  <si>
    <t>NumFractal</t>
  </si>
  <si>
    <t>Tetration (Classic)</t>
  </si>
  <si>
    <t>Special Function Fractals</t>
  </si>
  <si>
    <t>Bessel-like Oscillatory</t>
  </si>
  <si>
    <t>Continued Fraction Fractal</t>
  </si>
  <si>
    <t>Error Function (erf) Fractal</t>
  </si>
  <si>
    <t>Gamma Function Fractal</t>
  </si>
  <si>
    <t>Hyperbolic Combination</t>
  </si>
  <si>
    <t>Lambert W Function</t>
  </si>
  <si>
    <t>Tetration (Power Tower)</t>
  </si>
  <si>
    <t>Strange Attractors</t>
  </si>
  <si>
    <t>Bedhead Attractor</t>
  </si>
  <si>
    <t>Clifford Attractor</t>
  </si>
  <si>
    <t>De Jong Attractor</t>
  </si>
  <si>
    <t>Duffing Attractor</t>
  </si>
  <si>
    <t>Svensson Attractor</t>
  </si>
  <si>
    <t>Tinkerbell Attractor</t>
  </si>
  <si>
    <t>Tricorn Family</t>
  </si>
  <si>
    <t>Tricorn (Power 3)</t>
  </si>
  <si>
    <t>Tricorn (Power 4)</t>
  </si>
  <si>
    <t>Trigonometric</t>
  </si>
  <si>
    <t>Cosecant Mandelbrot</t>
  </si>
  <si>
    <t>Cosh Mandelbrot</t>
  </si>
  <si>
    <t>Cotangent Mandelbrot</t>
  </si>
  <si>
    <t>Mandel Trig</t>
  </si>
  <si>
    <t>Secant Mandelbrot</t>
  </si>
  <si>
    <t>Sinh Mandelbrot</t>
  </si>
  <si>
    <t>Tanh Mandelbrot</t>
  </si>
  <si>
    <t>Trigonometric Fractals</t>
  </si>
  <si>
    <t>Cos(z) + c</t>
  </si>
  <si>
    <t>Lambda Lambda Cosh</t>
  </si>
  <si>
    <t>Lambda Lambda Cosine</t>
  </si>
  <si>
    <t>Lambda Lambda Sine</t>
  </si>
  <si>
    <t>Lambda Lambda Sinh</t>
  </si>
  <si>
    <t>Lambda Mandel Cosh</t>
  </si>
  <si>
    <t>Lambda Mandel Cosine</t>
  </si>
  <si>
    <t>Lambda Mandel Sine</t>
  </si>
  <si>
    <t>Lambda Mandel Sinh</t>
  </si>
  <si>
    <t>Mandelbrot Trig</t>
  </si>
  <si>
    <t>Sin(z) + c</t>
  </si>
  <si>
    <t>Sine Fractal</t>
  </si>
  <si>
    <t>Index</t>
  </si>
  <si>
    <t>Fractal Name</t>
  </si>
  <si>
    <t>Notes</t>
  </si>
  <si>
    <t>Center X</t>
  </si>
  <si>
    <t>Center Y</t>
  </si>
  <si>
    <t>Pass</t>
  </si>
  <si>
    <t>Multibrot Powers</t>
  </si>
  <si>
    <t>Polynomial Variants</t>
  </si>
  <si>
    <t>1/sin(z)²</t>
  </si>
  <si>
    <t>Trig × Trig</t>
  </si>
  <si>
    <t>z·sin(z) + z</t>
  </si>
  <si>
    <t>Multibrot³ (Cubic)</t>
  </si>
  <si>
    <t>Multibrot⁴ (Quartic)</t>
  </si>
  <si>
    <t>Multibrot⁵ (Quintic)</t>
  </si>
  <si>
    <t>Polynomial z³-z+c</t>
  </si>
  <si>
    <t>Polynomial z⁴+z³+c</t>
  </si>
  <si>
    <t>Newton (z³-1)</t>
  </si>
  <si>
    <t>Newton Basin (z³-1)</t>
  </si>
  <si>
    <t>Newton Quartic (z⁴-1)</t>
  </si>
  <si>
    <t>Newton Quintic (z⁵-1)</t>
  </si>
  <si>
    <t>Newton Sextic (z⁶-1)</t>
  </si>
  <si>
    <t>Halley's Method z³-1</t>
  </si>
  <si>
    <t>Möbius Fractal</t>
  </si>
  <si>
    <t>Newton z³-1</t>
  </si>
  <si>
    <t>Newton z⁴-1</t>
  </si>
  <si>
    <t>Newton z⁵-1</t>
  </si>
  <si>
    <t>Rational (z²+c)/(z²-c)</t>
  </si>
  <si>
    <t>Rational z²/(z³+c)</t>
  </si>
  <si>
    <t>Rational z³/(z³+c)</t>
  </si>
  <si>
    <t>Celtic Buffalo</t>
  </si>
  <si>
    <t>another boring black hole, where's the lambda in the formula?</t>
  </si>
  <si>
    <t>boring black pentagon -  looks identical to Julia Power 5</t>
  </si>
  <si>
    <t>looks identical or close to previous Siegal Disk, can you introduce much more difference in appearance or find structure</t>
  </si>
  <si>
    <t>can you introduce more fine feathering or details</t>
  </si>
  <si>
    <t>looks almost exactly like Bird Of Prey.  Check formula or introduce more vairation</t>
  </si>
  <si>
    <t>looks like a plain Mandelbrot;  what is supposed to be unique about this fractal?  Perhaps introduce more fine structure or variation</t>
  </si>
  <si>
    <t>yet another Mandelbrot; so what's unique about this?  Or introduce more fine structure or variation</t>
  </si>
  <si>
    <t>black screen no structure at any zoom</t>
  </si>
  <si>
    <t>boring black square; still boring</t>
  </si>
  <si>
    <t>boring black pentagon - still boring</t>
  </si>
  <si>
    <t>double mandelbrot</t>
  </si>
  <si>
    <t>no difference with previous?</t>
  </si>
  <si>
    <t>nice</t>
  </si>
  <si>
    <t>amazing full screen of texture</t>
  </si>
  <si>
    <t>yet another mandelbrot</t>
  </si>
  <si>
    <t>VP Tuning Status</t>
  </si>
  <si>
    <t>APPLIED</t>
  </si>
  <si>
    <t>FORMULA FIXED</t>
  </si>
  <si>
    <t>NOT APPLIED</t>
  </si>
  <si>
    <t>N/A (no coordinates)</t>
  </si>
  <si>
    <t>IMPROVED + NOT APPLIED</t>
  </si>
  <si>
    <t>Resubmit with same numbers</t>
  </si>
  <si>
    <t>Do not resubmit or Take no action</t>
  </si>
  <si>
    <t>Resubmit with NEW numbers</t>
  </si>
  <si>
    <t>Do not resubmit, action finished</t>
  </si>
  <si>
    <t>full screen coverage</t>
  </si>
  <si>
    <t>glowing green and blue Mandelbrot</t>
  </si>
  <si>
    <t>this is not the Buddahbrot shape.  It is the classic Mandelbrot shape, but's worth saving somehow</t>
  </si>
  <si>
    <t>looks identical to Minimum Distance</t>
  </si>
  <si>
    <t>check the computations; black disk with a green crescent edge.  No fine structure; original Bessel disk with waves and striations is gone</t>
  </si>
  <si>
    <t>Mark's Action?</t>
  </si>
  <si>
    <t>just another mandelbrot</t>
  </si>
  <si>
    <t>pinnants</t>
  </si>
  <si>
    <t>Sech Mandelbrot</t>
  </si>
  <si>
    <t>Trigonmetric</t>
  </si>
  <si>
    <t>Classical Polynomials</t>
  </si>
  <si>
    <t>Legendre Polynomial</t>
  </si>
  <si>
    <t>Elliptic Functions</t>
  </si>
  <si>
    <t>Jacobi Elliptic sn</t>
  </si>
  <si>
    <t>Weierstrauss p-function</t>
  </si>
  <si>
    <t>Internal Name</t>
  </si>
  <si>
    <t>Lorenz</t>
  </si>
  <si>
    <t>BarnsleyJ1</t>
  </si>
  <si>
    <t>BarnsleyJ2</t>
  </si>
  <si>
    <t>BarnsleyJ3</t>
  </si>
  <si>
    <t>BarnsleyM1</t>
  </si>
  <si>
    <t>BarnsleyM2</t>
  </si>
  <si>
    <t>BarnsleyM3</t>
  </si>
  <si>
    <t>HenonParameterSpace</t>
  </si>
  <si>
    <t>LambdaParameterSpace</t>
  </si>
  <si>
    <t>OrbitDiagram</t>
  </si>
  <si>
    <t>BirdofPrey</t>
  </si>
  <si>
    <t>BuffaloBurningShip</t>
  </si>
  <si>
    <t>BurningShipCubic</t>
  </si>
  <si>
    <t>BurningShipQuartic</t>
  </si>
  <si>
    <t>BurningShipQuintic</t>
  </si>
  <si>
    <t>CelticBurningShip</t>
  </si>
  <si>
    <t>DiagonalBurningShip</t>
  </si>
  <si>
    <t>PartialBurningShip</t>
  </si>
  <si>
    <t>PerpendicularBurningShip</t>
  </si>
  <si>
    <t>ReverseBurningShip</t>
  </si>
  <si>
    <t>SharkBurningShip</t>
  </si>
  <si>
    <t>VerticalBurningShip</t>
  </si>
  <si>
    <t>Arneodo</t>
  </si>
  <si>
    <t>LiuChen</t>
  </si>
  <si>
    <t>RabinovichFabrikant</t>
  </si>
  <si>
    <t>SprottB</t>
  </si>
  <si>
    <t>Mandelbrot</t>
  </si>
  <si>
    <t>MandelLambda</t>
  </si>
  <si>
    <t>LegendrePolynomial</t>
  </si>
  <si>
    <t>SqrTrig</t>
  </si>
  <si>
    <t>MandelbrotDEM</t>
  </si>
  <si>
    <t>CelticMandelbrot</t>
  </si>
  <si>
    <t>HeartMandelbrot</t>
  </si>
  <si>
    <t>PerpendicularMandelbrot</t>
  </si>
  <si>
    <t>QuasiPerpendicular</t>
  </si>
  <si>
    <t>SharkFin</t>
  </si>
  <si>
    <t>Magnet1</t>
  </si>
  <si>
    <t>Phoenix</t>
  </si>
  <si>
    <t>ComplexPower</t>
  </si>
  <si>
    <t>Exponential</t>
  </si>
  <si>
    <t>ExponentialJulia</t>
  </si>
  <si>
    <t>ExponentialLogarithmic</t>
  </si>
  <si>
    <t>ExpSquare</t>
  </si>
  <si>
    <t>Logarithmic</t>
  </si>
  <si>
    <t>PowerTower</t>
  </si>
  <si>
    <t>ChipMap</t>
  </si>
  <si>
    <t>CollatzFractal</t>
  </si>
  <si>
    <t>DuffingMap</t>
  </si>
  <si>
    <t>MartinMap</t>
  </si>
  <si>
    <t>Biomorphs</t>
  </si>
  <si>
    <t>PickoverStalks</t>
  </si>
  <si>
    <t>QuaternionJulia2D</t>
  </si>
  <si>
    <t>SinusoidalFractal</t>
  </si>
  <si>
    <t>BifurcationMandel</t>
  </si>
  <si>
    <t>BurningMandel</t>
  </si>
  <si>
    <t>ExpMandelHybrid</t>
  </si>
  <si>
    <t>MandelBurningHybrid</t>
  </si>
  <si>
    <t>MultiPowerCycle</t>
  </si>
  <si>
    <t>MutantMandelbrot</t>
  </si>
  <si>
    <t>PerturbedNewton</t>
  </si>
  <si>
    <t>SierpinskiMandel</t>
  </si>
  <si>
    <t>TricornPhoenixHybrid</t>
  </si>
  <si>
    <t>TrigMandelBlend</t>
  </si>
  <si>
    <t>BarnsleyFern</t>
  </si>
  <si>
    <t>DragonCurveIFS</t>
  </si>
  <si>
    <t>PentagonIFS</t>
  </si>
  <si>
    <t>TreeIFS</t>
  </si>
  <si>
    <t>JuliaAirplane</t>
  </si>
  <si>
    <t>JuliaBackbone</t>
  </si>
  <si>
    <t>JuliaCauliflower</t>
  </si>
  <si>
    <t>JuliaCrystal</t>
  </si>
  <si>
    <t>JuliaDendritePreset</t>
  </si>
  <si>
    <t>JuliaDragonPreset</t>
  </si>
  <si>
    <t>JuliaEye</t>
  </si>
  <si>
    <t>JuliaFeigenbaum</t>
  </si>
  <si>
    <t>JuliaFlower</t>
  </si>
  <si>
    <t>JuliaFractalTree</t>
  </si>
  <si>
    <t>JuliaFuzzyBlob</t>
  </si>
  <si>
    <t>JuliaGoldenRatio</t>
  </si>
  <si>
    <t>JuliaHeart</t>
  </si>
  <si>
    <t>JuliaLightning</t>
  </si>
  <si>
    <t>JuliaMedusa</t>
  </si>
  <si>
    <t>JuliaNeurons</t>
  </si>
  <si>
    <t>JuliaPaisley</t>
  </si>
  <si>
    <t>JuliaSeahorse</t>
  </si>
  <si>
    <t>JuliaSnowflake</t>
  </si>
  <si>
    <t>JuliaSpiralPreset</t>
  </si>
  <si>
    <t>JuliaSpiralGalaxy</t>
  </si>
  <si>
    <t>JuliaTripleSpiral</t>
  </si>
  <si>
    <t>JuliaTwistedCross</t>
  </si>
  <si>
    <t>JuliaBurningShip</t>
  </si>
  <si>
    <t>JuliaClassic</t>
  </si>
  <si>
    <t>JuliaCubic</t>
  </si>
  <si>
    <t>JuliaCustom</t>
  </si>
  <si>
    <t>JuliaDendrite</t>
  </si>
  <si>
    <t>JuliaDouadyRabbit</t>
  </si>
  <si>
    <t>JuliaDragon</t>
  </si>
  <si>
    <t>JuliaLambda</t>
  </si>
  <si>
    <t>JuliaMagnet</t>
  </si>
  <si>
    <t>Multibrot3</t>
  </si>
  <si>
    <t>Multibrot4</t>
  </si>
  <si>
    <t>JuliaPhoenix</t>
  </si>
  <si>
    <t>JuliaSanMarco</t>
  </si>
  <si>
    <t>JuliaSiegelDisk</t>
  </si>
  <si>
    <t>JuliaSiegelDiskAlt</t>
  </si>
  <si>
    <t>JuliaSine</t>
  </si>
  <si>
    <t>JuliaSpiral</t>
  </si>
  <si>
    <t>LambdaFlip</t>
  </si>
  <si>
    <t>LambdaModified</t>
  </si>
  <si>
    <t>LambdaPhoenix</t>
  </si>
  <si>
    <t>LambdaPower3</t>
  </si>
  <si>
    <t>LambdaPower4</t>
  </si>
  <si>
    <t>LambdaSquared</t>
  </si>
  <si>
    <t>LambdaTan</t>
  </si>
  <si>
    <t>LambdaTanh</t>
  </si>
  <si>
    <t>Magnet1J</t>
  </si>
  <si>
    <t>BurningShip</t>
  </si>
  <si>
    <t>CelticBuffalo</t>
  </si>
  <si>
    <t>CelticHeart</t>
  </si>
  <si>
    <t>Mandel4</t>
  </si>
  <si>
    <t>MarksJulia</t>
  </si>
  <si>
    <t>Multibrot6</t>
  </si>
  <si>
    <t>SharkFinMandelbrot</t>
  </si>
  <si>
    <t>SpiderVariant</t>
  </si>
  <si>
    <t>ThornClassic</t>
  </si>
  <si>
    <t>Tricorn</t>
  </si>
  <si>
    <t>WavyMandelbrot</t>
  </si>
  <si>
    <t>BuffaloPolynomial</t>
  </si>
  <si>
    <t>Multibrot-10</t>
  </si>
  <si>
    <t>Multibrot-3</t>
  </si>
  <si>
    <t>Multibrot-4</t>
  </si>
  <si>
    <t>Multibrot-5</t>
  </si>
  <si>
    <t>Multibrot-6</t>
  </si>
  <si>
    <t>Multibrot-8</t>
  </si>
  <si>
    <t>Tricorn-Poly</t>
  </si>
  <si>
    <t>NewtonCosh</t>
  </si>
  <si>
    <t>AngleAverage</t>
  </si>
  <si>
    <t>AverageDistance</t>
  </si>
  <si>
    <t>MaximumDistance</t>
  </si>
  <si>
    <t>MinimumDistance</t>
  </si>
  <si>
    <t>OrbitTrapCircle</t>
  </si>
  <si>
    <t>OrbitTrapCross</t>
  </si>
  <si>
    <t>OrbitTrapPoint</t>
  </si>
  <si>
    <t>OrbitTrapSquare</t>
  </si>
  <si>
    <t>CircularOrbitTrap</t>
  </si>
  <si>
    <t>CrossOrbitTrap</t>
  </si>
  <si>
    <t>DeltaMagnitude</t>
  </si>
  <si>
    <t>OrbitAngleAccum</t>
  </si>
  <si>
    <t>CurvatureTracking</t>
  </si>
  <si>
    <t>PointLineOrbitTrap</t>
  </si>
  <si>
    <t>SmoothedOrbit</t>
  </si>
  <si>
    <t>StalksConditional</t>
  </si>
  <si>
    <t>StripeAverage</t>
  </si>
  <si>
    <t>TriangleOrbitTrap</t>
  </si>
  <si>
    <t>PhoenixCosh</t>
  </si>
  <si>
    <t>PhoenixLambda</t>
  </si>
  <si>
    <t>PhoenixM</t>
  </si>
  <si>
    <t>CubicMandel</t>
  </si>
  <si>
    <t>RationalR1</t>
  </si>
  <si>
    <t>Hailstone</t>
  </si>
  <si>
    <t>TetrationClassic</t>
  </si>
  <si>
    <t>BesselLikeFractal</t>
  </si>
  <si>
    <t>ContinuedFraction</t>
  </si>
  <si>
    <t>ErrorFunctionFractal</t>
  </si>
  <si>
    <t>GammaFractal</t>
  </si>
  <si>
    <t>HyperbolicCombo</t>
  </si>
  <si>
    <t>LambertW</t>
  </si>
  <si>
    <t>TetrationPowerTower</t>
  </si>
  <si>
    <t>Clifford</t>
  </si>
  <si>
    <t>CoshMandelbrot</t>
  </si>
  <si>
    <t>MandelTrig</t>
  </si>
  <si>
    <t>SinhMandelbrot</t>
  </si>
  <si>
    <t>TanhMandelbrot</t>
  </si>
  <si>
    <t>Aizawa</t>
  </si>
  <si>
    <t>ChenLee</t>
  </si>
  <si>
    <t>Dadras</t>
  </si>
  <si>
    <t>Halvorsen</t>
  </si>
  <si>
    <t>Pickover</t>
  </si>
  <si>
    <t>Thomas</t>
  </si>
  <si>
    <t>MandelParameter</t>
  </si>
  <si>
    <t>BurningShip3</t>
  </si>
  <si>
    <t>BurningShip4</t>
  </si>
  <si>
    <t>Chebyshev Polynomial</t>
  </si>
  <si>
    <t>ChebyshevPolynomial</t>
  </si>
  <si>
    <t>Sqr1OverTrig</t>
  </si>
  <si>
    <t>CosTan</t>
  </si>
  <si>
    <t>TetrationZtoZ</t>
  </si>
  <si>
    <t>TrigPlusTrig</t>
  </si>
  <si>
    <t>TrigXTrig</t>
  </si>
  <si>
    <t>TrigSqr</t>
  </si>
  <si>
    <t>ZxTrigPlusZ</t>
  </si>
  <si>
    <t>BurningShipDEM</t>
  </si>
  <si>
    <t>JuliaDEM</t>
  </si>
  <si>
    <t>TricornDEM</t>
  </si>
  <si>
    <t>JacobiSN</t>
  </si>
  <si>
    <t>WeierstrassP</t>
  </si>
  <si>
    <t>Buffalo</t>
  </si>
  <si>
    <t>Magnet2</t>
  </si>
  <si>
    <t>LLambdaExp</t>
  </si>
  <si>
    <t>LMandelExp</t>
  </si>
  <si>
    <t>Logarithm</t>
  </si>
  <si>
    <t>MandelExp</t>
  </si>
  <si>
    <t>ZToTheZ</t>
  </si>
  <si>
    <t>CelticBurningHybrid</t>
  </si>
  <si>
    <t>CollatzHybrid</t>
  </si>
  <si>
    <t>ExpMandelBlend</t>
  </si>
  <si>
    <t>MagnetMandelHybrid</t>
  </si>
  <si>
    <t>MandelLambdaMix</t>
  </si>
  <si>
    <t>NewtonMandelBlend</t>
  </si>
  <si>
    <t>SineMandelHybrid</t>
  </si>
  <si>
    <t>SierpinskiIFS</t>
  </si>
  <si>
    <t>LambdaJulia</t>
  </si>
  <si>
    <t>Julia5</t>
  </si>
  <si>
    <t>Julia6</t>
  </si>
  <si>
    <t>Magnet1Power3</t>
  </si>
  <si>
    <t>Magnet2Power3</t>
  </si>
  <si>
    <t>Magnet2J</t>
  </si>
  <si>
    <t>Julia4</t>
  </si>
  <si>
    <t>MarksMandel</t>
  </si>
  <si>
    <t>MarksMandelPlaceholder</t>
  </si>
  <si>
    <t>Multibrot7</t>
  </si>
  <si>
    <t>Multibrot8</t>
  </si>
  <si>
    <t>Multibrot5</t>
  </si>
  <si>
    <t>Newton</t>
  </si>
  <si>
    <t>NewtonBasin</t>
  </si>
  <si>
    <t>NewtonQuartic</t>
  </si>
  <si>
    <t>NewtonQuintic</t>
  </si>
  <si>
    <t>NewtonSextic</t>
  </si>
  <si>
    <t>NewtonSin</t>
  </si>
  <si>
    <t>PhoenixComplex</t>
  </si>
  <si>
    <t>PhoenixPower3</t>
  </si>
  <si>
    <t>PhoenixJ</t>
  </si>
  <si>
    <t>PhoenixPower4</t>
  </si>
  <si>
    <t>PhoenixSin</t>
  </si>
  <si>
    <t>QuarticMandel</t>
  </si>
  <si>
    <t>PolyZ3MinusZ</t>
  </si>
  <si>
    <t>PolyZ4PlusZ3</t>
  </si>
  <si>
    <t>QuinticMandel</t>
  </si>
  <si>
    <t>SexticMandel</t>
  </si>
  <si>
    <t>HalleyCubic</t>
  </si>
  <si>
    <t>Mobius</t>
  </si>
  <si>
    <t>NewtonCubic</t>
  </si>
  <si>
    <t>NewtonQuarticRational</t>
  </si>
  <si>
    <t>NewtonQuinticRational</t>
  </si>
  <si>
    <t>RationalSymmetric</t>
  </si>
  <si>
    <t>RationalZ2Z3</t>
  </si>
  <si>
    <t>RationalPower</t>
  </si>
  <si>
    <t>Hailstone2D</t>
  </si>
  <si>
    <t>Bedhead</t>
  </si>
  <si>
    <t>DeJong</t>
  </si>
  <si>
    <t>Duffing</t>
  </si>
  <si>
    <t>Svensson</t>
  </si>
  <si>
    <t>Tinkerbell</t>
  </si>
  <si>
    <t>Tricorn3</t>
  </si>
  <si>
    <t>Tricorn4</t>
  </si>
  <si>
    <t>CscMandel</t>
  </si>
  <si>
    <t>CotMandel</t>
  </si>
  <si>
    <t>SecMandel</t>
  </si>
  <si>
    <t>SechMandel</t>
  </si>
  <si>
    <t>CosZ</t>
  </si>
  <si>
    <t>LLambdaCosh</t>
  </si>
  <si>
    <t>LLambdaCos</t>
  </si>
  <si>
    <t>LLambdaSine</t>
  </si>
  <si>
    <t>LLambdaSinh</t>
  </si>
  <si>
    <t>LMandelCosh</t>
  </si>
  <si>
    <t>LMandelCos</t>
  </si>
  <si>
    <t>LMandelSine</t>
  </si>
  <si>
    <t>LMandelSinh</t>
  </si>
  <si>
    <t>SinZ</t>
  </si>
  <si>
    <t>Sine</t>
  </si>
  <si>
    <t>MIGRATED TO IC SERVICE</t>
  </si>
  <si>
    <t>Group File</t>
  </si>
  <si>
    <t>Attractors3DFamily.cpp</t>
  </si>
  <si>
    <t>BarnsleyFamily.cpp</t>
  </si>
  <si>
    <t>BifurcationFamily.cpp</t>
  </si>
  <si>
    <t>BurningShipFamily.cpp</t>
  </si>
  <si>
    <t>ChaoticMapsFamily.cpp</t>
  </si>
  <si>
    <t>ComplexFunctionsFamily.cpp</t>
  </si>
  <si>
    <t>ClassicEscapeTimeFamily.cpp</t>
  </si>
  <si>
    <t>MandelTrigClassic</t>
  </si>
  <si>
    <t>MandelLambdaClassic</t>
  </si>
  <si>
    <t>MandelbrotFamily.cpp</t>
  </si>
  <si>
    <t>PhoenixFamily.cpp</t>
  </si>
  <si>
    <t>ExponentialFamily.cpp</t>
  </si>
  <si>
    <t>DistanceEstimatorFamily.cpp</t>
  </si>
  <si>
    <t>EnhancedJuliaPresetsFamily.cpp</t>
  </si>
  <si>
    <t>CelticMandel</t>
  </si>
  <si>
    <t>ExoticForumulasFamily.cpp</t>
  </si>
  <si>
    <t>HybridFamily.cpp</t>
  </si>
  <si>
    <t>ExponentialLogarithmicFamily.cpp</t>
  </si>
  <si>
    <t>Exponential Logarithmic</t>
  </si>
  <si>
    <t>ExtendedJuliaFamily.cpp</t>
  </si>
  <si>
    <t>Multibrot3Julia</t>
  </si>
  <si>
    <t>Multibrot4Julia</t>
  </si>
  <si>
    <t>JuliaVariantsFamily.cpp</t>
  </si>
  <si>
    <t>JuliaExp</t>
  </si>
  <si>
    <t>FractalHybridsFamily.cpp</t>
  </si>
  <si>
    <t>HistoricalFractalsFamily.cpp</t>
  </si>
  <si>
    <t>IFSFamily.cpp</t>
  </si>
  <si>
    <t>LambdaExtendedFamily.cpp</t>
  </si>
  <si>
    <t>MagnetExtendedFamily.cpp</t>
  </si>
  <si>
    <t>MagnetFamily.cpp</t>
  </si>
  <si>
    <t>MultibrotFamily.cpp</t>
  </si>
  <si>
    <t>TricornFamily.cpp</t>
  </si>
  <si>
    <t>MandelVariantsFamily.cpp</t>
  </si>
  <si>
    <t>MandelbarExotic</t>
  </si>
  <si>
    <t>NewtonFamily.cpp</t>
  </si>
  <si>
    <t>NewtonExtendedFamily.cpp</t>
  </si>
  <si>
    <t>OrbitalFractalsFamily.cpp</t>
  </si>
  <si>
    <t>OrbitalModificationsFamily.cpp</t>
  </si>
  <si>
    <t>PhoenixExtendedFamily.cpp</t>
  </si>
  <si>
    <t>PolynomialFamily.cpp</t>
  </si>
  <si>
    <t>PolynomialVariantsFamily.cpp</t>
  </si>
  <si>
    <t>PowerVariantsFamily.cpp</t>
  </si>
  <si>
    <t>RationalFunctionFamily.cpp</t>
  </si>
  <si>
    <t>SpecialFunctionFamily.cpp</t>
  </si>
  <si>
    <t>SpecialExoticFamily.cpp</t>
  </si>
  <si>
    <t>StrangeAttractorsExtendedFamily.cpp</t>
  </si>
  <si>
    <t>TrigonometricFamily.cpp</t>
  </si>
  <si>
    <t>TrigonmetricExtendedFamily.cpp</t>
  </si>
  <si>
    <t>P/F</t>
  </si>
  <si>
    <t>Change</t>
  </si>
  <si>
    <t>Reported Zoom</t>
  </si>
  <si>
    <t>Digamma Function</t>
  </si>
  <si>
    <t>Trigamma Function</t>
  </si>
  <si>
    <t>Fermi-Dirac Distribution</t>
  </si>
  <si>
    <t>Planck Distribution</t>
  </si>
  <si>
    <t>Bose-Einstein Distribution</t>
  </si>
  <si>
    <t>Damped Harmonic Oscillator</t>
  </si>
  <si>
    <t>RLC Circuit Resonance</t>
  </si>
  <si>
    <t>Root Locus (Control Systems)</t>
  </si>
  <si>
    <t>BoseEinsteinFractal</t>
  </si>
  <si>
    <t>DampedOscillatorFractal</t>
  </si>
  <si>
    <t>DigammaFractal</t>
  </si>
  <si>
    <t>FermiDiracFractal</t>
  </si>
  <si>
    <t>PlanckFractal</t>
  </si>
  <si>
    <t>RLCCircuitFractal</t>
  </si>
  <si>
    <t>RootLocusFractal</t>
  </si>
  <si>
    <t>Chemical Engineering</t>
  </si>
  <si>
    <t>Arrhenius Kinetics Map (Thermal Activation)</t>
  </si>
  <si>
    <t>Cahn-Hilliard Map (Phase Separation)</t>
  </si>
  <si>
    <t>Gray-Scott Autocatalysis (Reaction-Diffusion)</t>
  </si>
  <si>
    <t>Langmuir-Hinshelwood Isotherm</t>
  </si>
  <si>
    <t>ArrheniusKinetics</t>
  </si>
  <si>
    <t>CahnHilliard</t>
  </si>
  <si>
    <t>GrayScott</t>
  </si>
  <si>
    <t>LangmuirIsotherm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</si>
</sst>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E+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6" fillId="33" borderId="10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11" xfId="0" applyBorder="1" applyAlignment="1">
      <alignment horizontal="center"/>
    </xf>
    <xf numFmtId="0" fontId="0" fillId="0" borderId="11" xfId="0" applyBorder="1"/>
    <xf numFmtId="2" fontId="0" fillId="0" borderId="11" xfId="0" applyNumberFormat="1" applyBorder="1"/>
    <xf numFmtId="0" fontId="0" fillId="0" borderId="0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2" fontId="0" fillId="0" borderId="0" xfId="0" applyNumberFormat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quotePrefix="1"/>
    <xf numFmtId="0" fontId="0" fillId="0" borderId="0" xfId="0" applyBorder="1"/>
    <xf numFmtId="0" fontId="16" fillId="33" borderId="0" xfId="0" applyFont="1" applyFill="1" applyBorder="1" applyAlignment="1">
      <alignment horizontal="center" wrapText="1"/>
    </xf>
    <xf numFmtId="0" fontId="0" fillId="34" borderId="0" xfId="0" applyFill="1" applyAlignment="1">
      <alignment horizontal="center"/>
    </xf>
    <xf numFmtId="0" fontId="0" fillId="34" borderId="0" xfId="0" applyFill="1"/>
    <xf numFmtId="2" fontId="0" fillId="34" borderId="0" xfId="0" applyNumberFormat="1" applyFill="1"/>
    <xf numFmtId="2" fontId="0" fillId="0" borderId="0" xfId="0" applyNumberFormat="1" applyBorder="1"/>
    <xf numFmtId="0" fontId="0" fillId="0" borderId="0" xfId="0" applyFill="1" applyBorder="1"/>
    <xf numFmtId="0" fontId="0" fillId="0" borderId="11" xfId="0" applyFill="1" applyBorder="1"/>
    <xf numFmtId="164" fontId="0" fillId="0" borderId="11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0" xfId="0" applyNumberFormat="1" applyFont="1" applyAlignment="1">
      <alignment horizontal="center"/>
    </xf>
    <xf numFmtId="164" fontId="0" fillId="34" borderId="0" xfId="0" applyNumberForma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6"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2"/>
  <sheetViews>
    <sheetView tabSelected="1" zoomScale="130" zoomScaleNormal="130" workbookViewId="0">
      <pane xSplit="1" ySplit="1" topLeftCell="B49" activePane="bottomRight" state="frozen"/>
      <selection pane="topRight" activeCell="B1" sqref="B1"/>
      <selection pane="bottomLeft" activeCell="A2" sqref="A2"/>
      <selection pane="bottomRight" activeCell="H55" sqref="H55:J55"/>
    </sheetView>
  </sheetViews>
  <sheetFormatPr defaultRowHeight="14.25" x14ac:dyDescent="0.45"/>
  <cols>
    <col min="1" max="1" width="4.59765625" style="2" customWidth="1"/>
    <col min="2" max="2" width="13.73046875" customWidth="1"/>
    <col min="3" max="3" width="6.640625E-2" hidden="1" customWidth="1"/>
    <col min="4" max="4" width="13.73046875" customWidth="1"/>
    <col min="5" max="5" width="18.796875" customWidth="1"/>
    <col min="6" max="6" width="4.33203125" style="2" customWidth="1"/>
    <col min="7" max="7" width="108.86328125" hidden="1" customWidth="1"/>
    <col min="8" max="8" width="5.796875" customWidth="1"/>
    <col min="9" max="9" width="4.9296875" customWidth="1"/>
    <col min="10" max="10" width="17.73046875" style="2" customWidth="1"/>
    <col min="11" max="11" width="11.1328125" customWidth="1"/>
    <col min="12" max="12" width="21.06640625" hidden="1" customWidth="1"/>
  </cols>
  <sheetData>
    <row r="1" spans="1:12" ht="33.4" customHeight="1" thickBot="1" x14ac:dyDescent="0.5">
      <c r="A1" s="1" t="s">
        <v>297</v>
      </c>
      <c r="B1" s="1" t="s">
        <v>0</v>
      </c>
      <c r="C1" s="1" t="s">
        <v>639</v>
      </c>
      <c r="D1" s="1" t="s">
        <v>298</v>
      </c>
      <c r="E1" s="1" t="s">
        <v>367</v>
      </c>
      <c r="F1" s="1" t="s">
        <v>688</v>
      </c>
      <c r="G1" s="1" t="s">
        <v>299</v>
      </c>
      <c r="H1" s="1" t="s">
        <v>300</v>
      </c>
      <c r="I1" s="1" t="s">
        <v>301</v>
      </c>
      <c r="J1" s="1" t="s">
        <v>690</v>
      </c>
      <c r="K1" s="1" t="s">
        <v>342</v>
      </c>
      <c r="L1" s="16" t="s">
        <v>357</v>
      </c>
    </row>
    <row r="2" spans="1:12" x14ac:dyDescent="0.45">
      <c r="A2" s="2">
        <v>1</v>
      </c>
      <c r="B2" t="s">
        <v>1</v>
      </c>
      <c r="C2" t="s">
        <v>640</v>
      </c>
      <c r="D2" t="s">
        <v>2</v>
      </c>
      <c r="E2" t="s">
        <v>541</v>
      </c>
      <c r="F2" s="2" t="s">
        <v>302</v>
      </c>
      <c r="H2" s="3">
        <v>0</v>
      </c>
      <c r="I2" s="3">
        <v>0</v>
      </c>
      <c r="J2" s="13">
        <v>0.5</v>
      </c>
      <c r="L2" t="s">
        <v>638</v>
      </c>
    </row>
    <row r="3" spans="1:12" x14ac:dyDescent="0.45">
      <c r="A3" s="2">
        <f t="shared" ref="A3:A36" si="0">A2+1</f>
        <v>2</v>
      </c>
      <c r="B3" t="s">
        <v>1</v>
      </c>
      <c r="C3" t="s">
        <v>640</v>
      </c>
      <c r="D3" t="s">
        <v>3</v>
      </c>
      <c r="E3" t="s">
        <v>542</v>
      </c>
      <c r="F3" s="2" t="s">
        <v>302</v>
      </c>
      <c r="H3" s="3">
        <v>-0.33269156719290999</v>
      </c>
      <c r="I3" s="3">
        <v>0.1108971890643</v>
      </c>
      <c r="J3" s="13">
        <v>2.10505244982876E-2</v>
      </c>
      <c r="L3" t="s">
        <v>638</v>
      </c>
    </row>
    <row r="4" spans="1:12" x14ac:dyDescent="0.45">
      <c r="A4" s="2">
        <f t="shared" si="0"/>
        <v>3</v>
      </c>
      <c r="B4" s="15" t="s">
        <v>1</v>
      </c>
      <c r="C4" s="15" t="s">
        <v>640</v>
      </c>
      <c r="D4" s="15" t="s">
        <v>4</v>
      </c>
      <c r="E4" s="15" t="s">
        <v>543</v>
      </c>
      <c r="F4" s="7" t="s">
        <v>302</v>
      </c>
      <c r="G4" s="15"/>
      <c r="H4" s="20">
        <v>0</v>
      </c>
      <c r="I4" s="20">
        <v>0</v>
      </c>
      <c r="J4" s="24">
        <v>6.8869069592909296E-2</v>
      </c>
      <c r="K4" s="15"/>
      <c r="L4" s="15" t="s">
        <v>638</v>
      </c>
    </row>
    <row r="5" spans="1:12" x14ac:dyDescent="0.45">
      <c r="A5" s="2">
        <f t="shared" si="0"/>
        <v>4</v>
      </c>
      <c r="B5" t="s">
        <v>1</v>
      </c>
      <c r="C5" t="s">
        <v>640</v>
      </c>
      <c r="D5" t="s">
        <v>5</v>
      </c>
      <c r="E5" t="s">
        <v>544</v>
      </c>
      <c r="F5" s="2" t="s">
        <v>302</v>
      </c>
      <c r="H5" s="3">
        <v>-3.2897226383725102</v>
      </c>
      <c r="I5" s="3">
        <v>-3.89027783624678</v>
      </c>
      <c r="J5" s="13">
        <v>7.6946525476416394E-2</v>
      </c>
      <c r="L5" t="s">
        <v>638</v>
      </c>
    </row>
    <row r="6" spans="1:12" x14ac:dyDescent="0.45">
      <c r="A6" s="2">
        <f t="shared" si="0"/>
        <v>5</v>
      </c>
      <c r="B6" t="s">
        <v>1</v>
      </c>
      <c r="C6" t="s">
        <v>640</v>
      </c>
      <c r="D6" t="s">
        <v>6</v>
      </c>
      <c r="E6" t="s">
        <v>368</v>
      </c>
      <c r="F6" s="2" t="s">
        <v>302</v>
      </c>
      <c r="H6" s="3">
        <v>0</v>
      </c>
      <c r="I6" s="3">
        <v>0</v>
      </c>
      <c r="J6" s="13">
        <v>2.89558769834217E-2</v>
      </c>
      <c r="L6" t="s">
        <v>638</v>
      </c>
    </row>
    <row r="7" spans="1:12" x14ac:dyDescent="0.45">
      <c r="A7" s="2">
        <f t="shared" si="0"/>
        <v>6</v>
      </c>
      <c r="B7" t="s">
        <v>1</v>
      </c>
      <c r="C7" t="s">
        <v>640</v>
      </c>
      <c r="D7" t="s">
        <v>7</v>
      </c>
      <c r="E7" t="s">
        <v>545</v>
      </c>
      <c r="F7" s="2" t="s">
        <v>302</v>
      </c>
      <c r="H7" s="3">
        <v>0</v>
      </c>
      <c r="I7" s="3">
        <v>0</v>
      </c>
      <c r="J7" s="13">
        <v>0.441351492538266</v>
      </c>
      <c r="L7" t="s">
        <v>638</v>
      </c>
    </row>
    <row r="8" spans="1:12" ht="14.65" thickBot="1" x14ac:dyDescent="0.5">
      <c r="A8" s="2">
        <f t="shared" si="0"/>
        <v>7</v>
      </c>
      <c r="B8" s="5" t="s">
        <v>1</v>
      </c>
      <c r="C8" s="5" t="s">
        <v>640</v>
      </c>
      <c r="D8" s="5" t="s">
        <v>8</v>
      </c>
      <c r="E8" s="5" t="s">
        <v>546</v>
      </c>
      <c r="F8" s="4" t="s">
        <v>302</v>
      </c>
      <c r="G8" s="5"/>
      <c r="H8" s="6">
        <v>1.5458528383524599</v>
      </c>
      <c r="I8" s="6">
        <v>1.3666982877778</v>
      </c>
      <c r="J8" s="23">
        <v>0.327598348985147</v>
      </c>
      <c r="K8" s="5"/>
      <c r="L8" s="5" t="s">
        <v>638</v>
      </c>
    </row>
    <row r="9" spans="1:12" x14ac:dyDescent="0.45">
      <c r="A9" s="2">
        <f t="shared" si="0"/>
        <v>8</v>
      </c>
      <c r="B9" t="s">
        <v>9</v>
      </c>
      <c r="C9" s="21" t="s">
        <v>641</v>
      </c>
      <c r="D9" t="s">
        <v>10</v>
      </c>
      <c r="E9" t="s">
        <v>369</v>
      </c>
      <c r="F9" s="2" t="s">
        <v>302</v>
      </c>
      <c r="G9" s="8"/>
      <c r="H9" s="3">
        <v>8.9089549527073597E-2</v>
      </c>
      <c r="I9" s="3">
        <v>6.6643526553280402E-2</v>
      </c>
      <c r="J9" s="13">
        <v>0.42423100738586</v>
      </c>
      <c r="K9" t="s">
        <v>689</v>
      </c>
      <c r="L9" s="21" t="s">
        <v>638</v>
      </c>
    </row>
    <row r="10" spans="1:12" x14ac:dyDescent="0.45">
      <c r="A10" s="2">
        <f t="shared" si="0"/>
        <v>9</v>
      </c>
      <c r="B10" s="15" t="s">
        <v>9</v>
      </c>
      <c r="C10" s="21" t="s">
        <v>641</v>
      </c>
      <c r="D10" s="15" t="s">
        <v>11</v>
      </c>
      <c r="E10" s="15" t="s">
        <v>370</v>
      </c>
      <c r="F10" s="7" t="s">
        <v>302</v>
      </c>
      <c r="G10" s="9"/>
      <c r="H10" s="20">
        <v>0</v>
      </c>
      <c r="I10" s="20">
        <v>0</v>
      </c>
      <c r="J10" s="24">
        <v>0.13869618368615599</v>
      </c>
      <c r="K10" s="15" t="s">
        <v>689</v>
      </c>
      <c r="L10" s="21" t="s">
        <v>638</v>
      </c>
    </row>
    <row r="11" spans="1:12" x14ac:dyDescent="0.45">
      <c r="A11" s="2">
        <f t="shared" si="0"/>
        <v>10</v>
      </c>
      <c r="B11" t="s">
        <v>9</v>
      </c>
      <c r="C11" s="21" t="s">
        <v>641</v>
      </c>
      <c r="D11" t="s">
        <v>12</v>
      </c>
      <c r="E11" t="s">
        <v>371</v>
      </c>
      <c r="F11" s="2" t="s">
        <v>302</v>
      </c>
      <c r="G11" s="8"/>
      <c r="H11" s="3">
        <v>-0.50392426319069406</v>
      </c>
      <c r="I11" s="3">
        <v>6.8051708253136903E-2</v>
      </c>
      <c r="J11" s="13">
        <v>0.40330188388966998</v>
      </c>
      <c r="K11" t="s">
        <v>689</v>
      </c>
      <c r="L11" s="21" t="s">
        <v>638</v>
      </c>
    </row>
    <row r="12" spans="1:12" x14ac:dyDescent="0.45">
      <c r="A12" s="2">
        <f t="shared" si="0"/>
        <v>11</v>
      </c>
      <c r="B12" t="s">
        <v>9</v>
      </c>
      <c r="C12" s="21" t="s">
        <v>641</v>
      </c>
      <c r="D12" t="s">
        <v>13</v>
      </c>
      <c r="E12" t="s">
        <v>372</v>
      </c>
      <c r="F12" s="2" t="s">
        <v>302</v>
      </c>
      <c r="G12" s="8"/>
      <c r="H12" s="3">
        <v>-1.25233246232401</v>
      </c>
      <c r="I12" s="3">
        <v>-1.8082385620392601E-2</v>
      </c>
      <c r="J12" s="13">
        <v>0.34868591399454102</v>
      </c>
      <c r="K12" t="s">
        <v>689</v>
      </c>
      <c r="L12" s="21" t="s">
        <v>638</v>
      </c>
    </row>
    <row r="13" spans="1:12" x14ac:dyDescent="0.45">
      <c r="A13" s="2">
        <f t="shared" si="0"/>
        <v>12</v>
      </c>
      <c r="B13" t="s">
        <v>9</v>
      </c>
      <c r="C13" s="21" t="s">
        <v>641</v>
      </c>
      <c r="D13" t="s">
        <v>14</v>
      </c>
      <c r="E13" t="s">
        <v>373</v>
      </c>
      <c r="F13" s="2" t="s">
        <v>302</v>
      </c>
      <c r="G13" s="8"/>
      <c r="H13" s="3">
        <v>-2.0176319877306101E-2</v>
      </c>
      <c r="I13" s="3">
        <v>4.08167986139071E-2</v>
      </c>
      <c r="J13" s="13">
        <v>0.44197418459635801</v>
      </c>
      <c r="K13" t="s">
        <v>689</v>
      </c>
      <c r="L13" s="21" t="s">
        <v>638</v>
      </c>
    </row>
    <row r="14" spans="1:12" ht="14.65" thickBot="1" x14ac:dyDescent="0.5">
      <c r="A14" s="2">
        <f t="shared" si="0"/>
        <v>13</v>
      </c>
      <c r="B14" s="5" t="s">
        <v>9</v>
      </c>
      <c r="C14" s="5" t="s">
        <v>641</v>
      </c>
      <c r="D14" s="5" t="s">
        <v>15</v>
      </c>
      <c r="E14" s="5" t="s">
        <v>374</v>
      </c>
      <c r="F14" s="4" t="s">
        <v>302</v>
      </c>
      <c r="G14" s="5"/>
      <c r="H14" s="6">
        <v>-1.51614022908712</v>
      </c>
      <c r="I14" s="6">
        <v>2.4991322457480401E-2</v>
      </c>
      <c r="J14" s="23">
        <v>0.5</v>
      </c>
      <c r="K14" s="5" t="s">
        <v>689</v>
      </c>
      <c r="L14" s="22" t="s">
        <v>638</v>
      </c>
    </row>
    <row r="15" spans="1:12" x14ac:dyDescent="0.45">
      <c r="A15" s="2">
        <f t="shared" si="0"/>
        <v>14</v>
      </c>
      <c r="B15" t="s">
        <v>16</v>
      </c>
      <c r="C15" s="21" t="s">
        <v>642</v>
      </c>
      <c r="D15" t="s">
        <v>17</v>
      </c>
      <c r="E15" t="s">
        <v>375</v>
      </c>
      <c r="F15" s="2" t="s">
        <v>302</v>
      </c>
      <c r="G15" s="8"/>
      <c r="H15" s="3">
        <v>0.51197211601326897</v>
      </c>
      <c r="I15" s="3">
        <v>-0.243094596329097</v>
      </c>
      <c r="J15" s="13">
        <v>0.897304975429975</v>
      </c>
      <c r="K15" s="21" t="s">
        <v>689</v>
      </c>
      <c r="L15" t="s">
        <v>638</v>
      </c>
    </row>
    <row r="16" spans="1:12" x14ac:dyDescent="0.45">
      <c r="A16" s="2">
        <f t="shared" si="0"/>
        <v>15</v>
      </c>
      <c r="B16" t="s">
        <v>16</v>
      </c>
      <c r="C16" t="s">
        <v>642</v>
      </c>
      <c r="D16" t="s">
        <v>18</v>
      </c>
      <c r="E16" t="s">
        <v>376</v>
      </c>
      <c r="F16" s="2" t="s">
        <v>302</v>
      </c>
      <c r="G16" s="8"/>
      <c r="H16" s="3">
        <v>1.00385059684251</v>
      </c>
      <c r="I16" s="3">
        <v>1.27069695802849E-2</v>
      </c>
      <c r="J16" s="13">
        <v>0.58641747252629794</v>
      </c>
      <c r="K16" s="21" t="s">
        <v>689</v>
      </c>
      <c r="L16" t="s">
        <v>638</v>
      </c>
    </row>
    <row r="17" spans="1:12" x14ac:dyDescent="0.45">
      <c r="A17" s="2">
        <f t="shared" si="0"/>
        <v>16</v>
      </c>
      <c r="B17" t="s">
        <v>16</v>
      </c>
      <c r="C17" t="s">
        <v>642</v>
      </c>
      <c r="D17" t="s">
        <v>19</v>
      </c>
      <c r="E17" t="s">
        <v>547</v>
      </c>
      <c r="F17" s="7" t="s">
        <v>302</v>
      </c>
      <c r="G17" s="9"/>
      <c r="H17" s="3">
        <v>-0.25781681042179999</v>
      </c>
      <c r="I17" s="3">
        <v>2.39352535260638E-2</v>
      </c>
      <c r="J17" s="13">
        <v>0.76312960909132799</v>
      </c>
      <c r="L17" t="s">
        <v>638</v>
      </c>
    </row>
    <row r="18" spans="1:12" ht="14.65" thickBot="1" x14ac:dyDescent="0.5">
      <c r="A18" s="2">
        <f t="shared" si="0"/>
        <v>17</v>
      </c>
      <c r="B18" s="5" t="s">
        <v>16</v>
      </c>
      <c r="C18" s="5" t="s">
        <v>642</v>
      </c>
      <c r="D18" s="5" t="s">
        <v>20</v>
      </c>
      <c r="E18" s="5" t="s">
        <v>377</v>
      </c>
      <c r="F18" s="4" t="s">
        <v>302</v>
      </c>
      <c r="G18" s="5"/>
      <c r="H18" s="6">
        <v>-0.25781681042179999</v>
      </c>
      <c r="I18" s="6">
        <v>2.39352535260638E-2</v>
      </c>
      <c r="J18" s="23">
        <v>0.76312960909132799</v>
      </c>
      <c r="K18" s="5"/>
      <c r="L18" s="5" t="s">
        <v>638</v>
      </c>
    </row>
    <row r="19" spans="1:12" x14ac:dyDescent="0.45">
      <c r="A19" s="2">
        <f t="shared" si="0"/>
        <v>18</v>
      </c>
      <c r="B19" t="s">
        <v>21</v>
      </c>
      <c r="C19" s="21" t="s">
        <v>681</v>
      </c>
      <c r="D19" t="s">
        <v>22</v>
      </c>
      <c r="E19" t="s">
        <v>548</v>
      </c>
      <c r="F19" s="2" t="s">
        <v>302</v>
      </c>
      <c r="H19" s="3">
        <v>8.0597711151088894E-2</v>
      </c>
      <c r="I19" s="3">
        <v>0.14708317289179801</v>
      </c>
      <c r="J19" s="13">
        <v>0.59527811735941305</v>
      </c>
      <c r="L19" s="21" t="s">
        <v>638</v>
      </c>
    </row>
    <row r="20" spans="1:12" ht="14.65" thickBot="1" x14ac:dyDescent="0.5">
      <c r="A20" s="2">
        <f t="shared" si="0"/>
        <v>19</v>
      </c>
      <c r="B20" s="5" t="s">
        <v>21</v>
      </c>
      <c r="C20" s="5" t="s">
        <v>681</v>
      </c>
      <c r="D20" s="5" t="s">
        <v>23</v>
      </c>
      <c r="E20" s="5" t="s">
        <v>549</v>
      </c>
      <c r="F20" s="4" t="s">
        <v>302</v>
      </c>
      <c r="G20" s="5"/>
      <c r="H20" s="6">
        <v>-4.7347866281619799E-2</v>
      </c>
      <c r="I20" s="6">
        <v>0.182518290335001</v>
      </c>
      <c r="J20" s="23">
        <v>0.76322490337635096</v>
      </c>
      <c r="K20" s="5"/>
      <c r="L20" s="5" t="s">
        <v>638</v>
      </c>
    </row>
    <row r="21" spans="1:12" x14ac:dyDescent="0.45">
      <c r="A21" s="2">
        <f t="shared" si="0"/>
        <v>20</v>
      </c>
      <c r="B21" s="15" t="s">
        <v>24</v>
      </c>
      <c r="C21" s="21" t="s">
        <v>646</v>
      </c>
      <c r="D21" s="15" t="s">
        <v>25</v>
      </c>
      <c r="E21" s="15" t="s">
        <v>378</v>
      </c>
      <c r="F21" s="7" t="s">
        <v>302</v>
      </c>
      <c r="G21" s="9"/>
      <c r="H21" s="20">
        <v>-0.53085937500000002</v>
      </c>
      <c r="I21" s="20">
        <v>-4.6874999999999903E-3</v>
      </c>
      <c r="J21" s="24">
        <v>1</v>
      </c>
      <c r="K21" s="15"/>
      <c r="L21" s="21" t="s">
        <v>638</v>
      </c>
    </row>
    <row r="22" spans="1:12" x14ac:dyDescent="0.45">
      <c r="A22" s="2">
        <f t="shared" si="0"/>
        <v>21</v>
      </c>
      <c r="B22" t="s">
        <v>24</v>
      </c>
      <c r="C22" t="s">
        <v>643</v>
      </c>
      <c r="D22" t="s">
        <v>26</v>
      </c>
      <c r="E22" t="s">
        <v>379</v>
      </c>
      <c r="F22" s="2" t="s">
        <v>302</v>
      </c>
      <c r="G22" s="8"/>
      <c r="H22" s="3">
        <v>3.2812499999999897E-2</v>
      </c>
      <c r="I22" s="3">
        <v>0.44062499999999899</v>
      </c>
      <c r="J22" s="13">
        <v>0.60290391132335897</v>
      </c>
      <c r="L22" t="s">
        <v>638</v>
      </c>
    </row>
    <row r="23" spans="1:12" x14ac:dyDescent="0.45">
      <c r="A23" s="2">
        <f t="shared" si="0"/>
        <v>22</v>
      </c>
      <c r="B23" t="s">
        <v>24</v>
      </c>
      <c r="C23" t="s">
        <v>643</v>
      </c>
      <c r="D23" t="s">
        <v>27</v>
      </c>
      <c r="E23" t="s">
        <v>380</v>
      </c>
      <c r="F23" s="2" t="s">
        <v>302</v>
      </c>
      <c r="G23" s="8"/>
      <c r="H23" s="3">
        <v>-1.171875E-2</v>
      </c>
      <c r="I23" s="3">
        <v>0.10781250000000001</v>
      </c>
      <c r="J23" s="13">
        <v>0.53588673043789403</v>
      </c>
      <c r="L23" t="s">
        <v>638</v>
      </c>
    </row>
    <row r="24" spans="1:12" x14ac:dyDescent="0.45">
      <c r="A24" s="2">
        <f t="shared" si="0"/>
        <v>23</v>
      </c>
      <c r="B24" t="s">
        <v>24</v>
      </c>
      <c r="C24" t="s">
        <v>643</v>
      </c>
      <c r="D24" t="s">
        <v>28</v>
      </c>
      <c r="E24" t="s">
        <v>381</v>
      </c>
      <c r="F24" s="2" t="s">
        <v>302</v>
      </c>
      <c r="G24" s="8"/>
      <c r="H24" s="3">
        <v>-2.85954831673467E-2</v>
      </c>
      <c r="I24" s="3">
        <v>0.126071387426236</v>
      </c>
      <c r="J24" s="13">
        <v>0.62749677835051498</v>
      </c>
      <c r="L24" t="s">
        <v>638</v>
      </c>
    </row>
    <row r="25" spans="1:12" x14ac:dyDescent="0.45">
      <c r="A25" s="2">
        <f t="shared" si="0"/>
        <v>24</v>
      </c>
      <c r="B25" t="s">
        <v>24</v>
      </c>
      <c r="C25" t="s">
        <v>643</v>
      </c>
      <c r="D25" t="s">
        <v>29</v>
      </c>
      <c r="E25" t="s">
        <v>382</v>
      </c>
      <c r="F25" s="2" t="s">
        <v>302</v>
      </c>
      <c r="G25" s="8"/>
      <c r="H25" s="3">
        <v>-7.4927677533516202E-2</v>
      </c>
      <c r="I25" s="3">
        <v>-7.6078334253537605E-2</v>
      </c>
      <c r="J25" s="13">
        <v>0.663402574764686</v>
      </c>
      <c r="L25" t="s">
        <v>638</v>
      </c>
    </row>
    <row r="26" spans="1:12" x14ac:dyDescent="0.45">
      <c r="A26" s="2">
        <f t="shared" si="0"/>
        <v>25</v>
      </c>
      <c r="B26" t="s">
        <v>24</v>
      </c>
      <c r="C26" t="s">
        <v>643</v>
      </c>
      <c r="D26" t="s">
        <v>30</v>
      </c>
      <c r="E26" t="s">
        <v>383</v>
      </c>
      <c r="F26" s="2" t="s">
        <v>302</v>
      </c>
      <c r="G26" s="8"/>
      <c r="H26" s="3">
        <v>-0.74971120523681101</v>
      </c>
      <c r="I26" s="3">
        <v>3.11898344243355E-2</v>
      </c>
      <c r="J26" s="13">
        <v>0.47963206010848902</v>
      </c>
      <c r="L26" t="s">
        <v>638</v>
      </c>
    </row>
    <row r="27" spans="1:12" x14ac:dyDescent="0.45">
      <c r="A27" s="2">
        <f t="shared" si="0"/>
        <v>26</v>
      </c>
      <c r="B27" t="s">
        <v>24</v>
      </c>
      <c r="C27" t="s">
        <v>643</v>
      </c>
      <c r="D27" t="s">
        <v>31</v>
      </c>
      <c r="E27" t="s">
        <v>384</v>
      </c>
      <c r="F27" s="2" t="s">
        <v>302</v>
      </c>
      <c r="G27" s="8"/>
      <c r="H27" s="3">
        <v>-4.33680868994201E-19</v>
      </c>
      <c r="I27">
        <v>-0.196874999999999</v>
      </c>
      <c r="J27" s="13">
        <v>1</v>
      </c>
      <c r="L27" t="s">
        <v>638</v>
      </c>
    </row>
    <row r="28" spans="1:12" x14ac:dyDescent="0.45">
      <c r="A28" s="2">
        <f t="shared" si="0"/>
        <v>27</v>
      </c>
      <c r="B28" t="s">
        <v>24</v>
      </c>
      <c r="C28" t="s">
        <v>646</v>
      </c>
      <c r="D28" t="s">
        <v>32</v>
      </c>
      <c r="E28" t="s">
        <v>385</v>
      </c>
      <c r="F28" s="2" t="s">
        <v>302</v>
      </c>
      <c r="G28" s="8"/>
      <c r="H28" s="3">
        <v>-0.365150424795471</v>
      </c>
      <c r="I28" s="3">
        <v>6.9976998725907499E-2</v>
      </c>
      <c r="J28" s="13">
        <v>0.61275692114093905</v>
      </c>
      <c r="L28" t="s">
        <v>638</v>
      </c>
    </row>
    <row r="29" spans="1:12" x14ac:dyDescent="0.45">
      <c r="A29" s="2">
        <f t="shared" si="0"/>
        <v>28</v>
      </c>
      <c r="B29" t="s">
        <v>24</v>
      </c>
      <c r="C29" t="s">
        <v>643</v>
      </c>
      <c r="D29" t="s">
        <v>33</v>
      </c>
      <c r="E29" t="s">
        <v>386</v>
      </c>
      <c r="F29" s="2" t="s">
        <v>302</v>
      </c>
      <c r="G29" s="8"/>
      <c r="H29">
        <v>-0.31341157114378698</v>
      </c>
      <c r="I29">
        <v>0.58998975179694502</v>
      </c>
      <c r="J29" s="13">
        <v>0.731869989979959</v>
      </c>
      <c r="L29" t="s">
        <v>638</v>
      </c>
    </row>
    <row r="30" spans="1:12" x14ac:dyDescent="0.45">
      <c r="A30" s="2">
        <f t="shared" si="0"/>
        <v>29</v>
      </c>
      <c r="B30" t="s">
        <v>24</v>
      </c>
      <c r="C30" t="s">
        <v>643</v>
      </c>
      <c r="D30" t="s">
        <v>34</v>
      </c>
      <c r="E30" t="s">
        <v>387</v>
      </c>
      <c r="F30" s="2" t="s">
        <v>302</v>
      </c>
      <c r="G30" s="8"/>
      <c r="H30" s="3">
        <v>-0.37519949924694601</v>
      </c>
      <c r="I30" s="3">
        <v>-4.1977964637079403E-2</v>
      </c>
      <c r="J30" s="13">
        <v>0.70020057133885205</v>
      </c>
      <c r="L30" t="s">
        <v>638</v>
      </c>
    </row>
    <row r="31" spans="1:12" x14ac:dyDescent="0.45">
      <c r="A31" s="2">
        <f t="shared" si="0"/>
        <v>30</v>
      </c>
      <c r="B31" s="15" t="s">
        <v>24</v>
      </c>
      <c r="C31" s="15" t="s">
        <v>643</v>
      </c>
      <c r="D31" s="15" t="s">
        <v>35</v>
      </c>
      <c r="E31" s="15" t="s">
        <v>388</v>
      </c>
      <c r="F31" s="7" t="s">
        <v>302</v>
      </c>
      <c r="G31" s="9"/>
      <c r="H31" s="20">
        <v>-4.2160094118386601E-3</v>
      </c>
      <c r="I31" s="20">
        <v>-1.9855458857656301E-3</v>
      </c>
      <c r="J31" s="24">
        <v>5.5124999603235398</v>
      </c>
      <c r="K31" s="15"/>
      <c r="L31" s="15" t="s">
        <v>638</v>
      </c>
    </row>
    <row r="32" spans="1:12" ht="19.5" customHeight="1" thickBot="1" x14ac:dyDescent="0.5">
      <c r="A32" s="2">
        <f t="shared" si="0"/>
        <v>31</v>
      </c>
      <c r="B32" s="5" t="s">
        <v>24</v>
      </c>
      <c r="C32" s="5" t="s">
        <v>643</v>
      </c>
      <c r="D32" s="5" t="s">
        <v>36</v>
      </c>
      <c r="E32" s="5" t="s">
        <v>389</v>
      </c>
      <c r="F32" s="4" t="s">
        <v>302</v>
      </c>
      <c r="G32" s="5" t="s">
        <v>331</v>
      </c>
      <c r="H32" s="6">
        <v>-0.22266621137597001</v>
      </c>
      <c r="I32" s="6">
        <v>-0.44485291446589298</v>
      </c>
      <c r="J32" s="23">
        <v>0.828124999999999</v>
      </c>
      <c r="K32" s="5"/>
      <c r="L32" s="5" t="s">
        <v>638</v>
      </c>
    </row>
    <row r="33" spans="1:12" x14ac:dyDescent="0.45">
      <c r="A33" s="2">
        <f t="shared" si="0"/>
        <v>32</v>
      </c>
      <c r="B33" t="s">
        <v>37</v>
      </c>
      <c r="C33" t="s">
        <v>644</v>
      </c>
      <c r="D33" t="s">
        <v>38</v>
      </c>
      <c r="E33" t="s">
        <v>390</v>
      </c>
      <c r="F33" s="2" t="s">
        <v>302</v>
      </c>
      <c r="G33" s="8"/>
      <c r="H33" s="10">
        <v>0</v>
      </c>
      <c r="I33" s="10">
        <v>0</v>
      </c>
      <c r="J33" s="13">
        <v>2.0750000000000002</v>
      </c>
      <c r="L33" t="s">
        <v>638</v>
      </c>
    </row>
    <row r="34" spans="1:12" x14ac:dyDescent="0.45">
      <c r="A34" s="2">
        <f t="shared" si="0"/>
        <v>33</v>
      </c>
      <c r="B34" t="s">
        <v>37</v>
      </c>
      <c r="C34" t="s">
        <v>644</v>
      </c>
      <c r="D34" t="s">
        <v>39</v>
      </c>
      <c r="E34" t="s">
        <v>391</v>
      </c>
      <c r="F34" s="2" t="s">
        <v>302</v>
      </c>
      <c r="G34" s="8"/>
      <c r="H34" s="10">
        <v>0</v>
      </c>
      <c r="I34" s="10">
        <v>0</v>
      </c>
      <c r="J34" s="13">
        <v>1.9432741999999899E-2</v>
      </c>
      <c r="L34" t="s">
        <v>638</v>
      </c>
    </row>
    <row r="35" spans="1:12" x14ac:dyDescent="0.45">
      <c r="A35" s="2">
        <f t="shared" si="0"/>
        <v>34</v>
      </c>
      <c r="B35" t="s">
        <v>37</v>
      </c>
      <c r="C35" t="s">
        <v>644</v>
      </c>
      <c r="D35" t="s">
        <v>40</v>
      </c>
      <c r="E35" t="s">
        <v>392</v>
      </c>
      <c r="F35" s="2" t="s">
        <v>302</v>
      </c>
      <c r="G35" s="8"/>
      <c r="H35" s="10">
        <v>0.75809495893075096</v>
      </c>
      <c r="I35" s="10">
        <v>6.5979689903784902E-2</v>
      </c>
      <c r="J35" s="13">
        <v>0.32376162906886902</v>
      </c>
      <c r="L35" t="s">
        <v>638</v>
      </c>
    </row>
    <row r="36" spans="1:12" ht="14.65" thickBot="1" x14ac:dyDescent="0.5">
      <c r="A36" s="2">
        <f t="shared" si="0"/>
        <v>35</v>
      </c>
      <c r="B36" s="5" t="s">
        <v>37</v>
      </c>
      <c r="C36" s="5" t="s">
        <v>644</v>
      </c>
      <c r="D36" s="5" t="s">
        <v>41</v>
      </c>
      <c r="E36" s="5" t="s">
        <v>393</v>
      </c>
      <c r="F36" s="4" t="s">
        <v>302</v>
      </c>
      <c r="G36" s="5"/>
      <c r="H36" s="6">
        <v>0</v>
      </c>
      <c r="I36" s="6">
        <v>0</v>
      </c>
      <c r="J36" s="23">
        <v>0.25</v>
      </c>
      <c r="K36" s="5"/>
      <c r="L36" s="5" t="s">
        <v>638</v>
      </c>
    </row>
    <row r="37" spans="1:12" x14ac:dyDescent="0.45">
      <c r="A37" s="2">
        <f t="shared" ref="A37:A54" si="1">A36+1</f>
        <v>36</v>
      </c>
      <c r="B37" s="21" t="s">
        <v>706</v>
      </c>
      <c r="C37" s="15"/>
      <c r="D37" s="21" t="s">
        <v>707</v>
      </c>
      <c r="E37" s="15" t="s">
        <v>711</v>
      </c>
      <c r="F37" s="7" t="s">
        <v>302</v>
      </c>
      <c r="G37" s="15"/>
      <c r="H37" s="20">
        <v>-0.71015624999999905</v>
      </c>
      <c r="I37" s="20">
        <v>-1.40625E-2</v>
      </c>
      <c r="J37" s="24">
        <v>0.43527528299681001</v>
      </c>
      <c r="K37" s="15"/>
      <c r="L37" s="15"/>
    </row>
    <row r="38" spans="1:12" x14ac:dyDescent="0.45">
      <c r="A38" s="2">
        <f t="shared" si="1"/>
        <v>37</v>
      </c>
      <c r="B38" s="21" t="s">
        <v>706</v>
      </c>
      <c r="C38" s="15"/>
      <c r="D38" s="21" t="s">
        <v>708</v>
      </c>
      <c r="E38" s="15" t="s">
        <v>712</v>
      </c>
      <c r="F38" s="7" t="s">
        <v>302</v>
      </c>
      <c r="G38" s="15"/>
      <c r="H38" s="20">
        <v>0</v>
      </c>
      <c r="I38" s="20">
        <v>0</v>
      </c>
      <c r="J38" s="24">
        <v>0.8</v>
      </c>
      <c r="K38" s="15"/>
      <c r="L38" s="15"/>
    </row>
    <row r="39" spans="1:12" x14ac:dyDescent="0.45">
      <c r="A39" s="2">
        <f t="shared" si="1"/>
        <v>38</v>
      </c>
      <c r="B39" s="21" t="s">
        <v>706</v>
      </c>
      <c r="C39" s="15"/>
      <c r="D39" s="21" t="s">
        <v>709</v>
      </c>
      <c r="E39" s="15" t="s">
        <v>713</v>
      </c>
      <c r="F39" s="7" t="s">
        <v>302</v>
      </c>
      <c r="G39" s="15"/>
      <c r="H39" s="20">
        <v>0</v>
      </c>
      <c r="I39" s="20">
        <v>0</v>
      </c>
      <c r="J39" s="24">
        <v>0.4</v>
      </c>
      <c r="K39" s="15"/>
      <c r="L39" s="15"/>
    </row>
    <row r="40" spans="1:12" ht="14.65" thickBot="1" x14ac:dyDescent="0.5">
      <c r="A40" s="2">
        <f t="shared" si="1"/>
        <v>39</v>
      </c>
      <c r="B40" s="22" t="s">
        <v>706</v>
      </c>
      <c r="C40" s="5"/>
      <c r="D40" s="5" t="s">
        <v>710</v>
      </c>
      <c r="E40" s="5" t="s">
        <v>714</v>
      </c>
      <c r="F40" s="4" t="s">
        <v>302</v>
      </c>
      <c r="G40" s="5"/>
      <c r="H40" s="6">
        <v>-0.69647566195877597</v>
      </c>
      <c r="I40" s="6">
        <v>8.2837215196764999E-2</v>
      </c>
      <c r="J40" s="23">
        <v>0.39806248785209603</v>
      </c>
      <c r="K40" s="5"/>
      <c r="L40" s="15"/>
    </row>
    <row r="41" spans="1:12" ht="19.5" customHeight="1" x14ac:dyDescent="0.45">
      <c r="A41" s="2">
        <f t="shared" si="1"/>
        <v>40</v>
      </c>
      <c r="B41" t="s">
        <v>42</v>
      </c>
      <c r="C41" s="21" t="s">
        <v>646</v>
      </c>
      <c r="D41" t="s">
        <v>43</v>
      </c>
      <c r="E41" t="s">
        <v>43</v>
      </c>
      <c r="F41" s="7" t="s">
        <v>302</v>
      </c>
      <c r="G41" s="9"/>
      <c r="H41" s="11">
        <v>1</v>
      </c>
      <c r="I41" s="11">
        <v>0</v>
      </c>
      <c r="J41" s="13">
        <v>0.5</v>
      </c>
      <c r="L41" t="s">
        <v>638</v>
      </c>
    </row>
    <row r="42" spans="1:12" x14ac:dyDescent="0.45">
      <c r="A42" s="2">
        <f t="shared" si="1"/>
        <v>41</v>
      </c>
      <c r="B42" s="15" t="s">
        <v>42</v>
      </c>
      <c r="C42" s="15" t="s">
        <v>646</v>
      </c>
      <c r="D42" s="15" t="s">
        <v>45</v>
      </c>
      <c r="E42" s="15" t="s">
        <v>648</v>
      </c>
      <c r="F42" s="7" t="s">
        <v>302</v>
      </c>
      <c r="G42" s="15"/>
      <c r="H42" s="11">
        <v>0.78667693492491297</v>
      </c>
      <c r="I42" s="11">
        <v>2.6569118213323001E-2</v>
      </c>
      <c r="J42" s="24">
        <v>0.57038185625519</v>
      </c>
      <c r="K42" s="15"/>
      <c r="L42" s="15" t="s">
        <v>638</v>
      </c>
    </row>
    <row r="43" spans="1:12" x14ac:dyDescent="0.45">
      <c r="A43" s="2">
        <f t="shared" si="1"/>
        <v>42</v>
      </c>
      <c r="B43" t="s">
        <v>42</v>
      </c>
      <c r="C43" t="s">
        <v>649</v>
      </c>
      <c r="D43" t="s">
        <v>44</v>
      </c>
      <c r="E43" t="s">
        <v>394</v>
      </c>
      <c r="F43" s="12" t="s">
        <v>302</v>
      </c>
      <c r="H43" s="3">
        <v>-0.43032153800904299</v>
      </c>
      <c r="I43" s="3">
        <v>-2.4946176116466298E-3</v>
      </c>
      <c r="J43" s="24">
        <v>0.81790206223260098</v>
      </c>
      <c r="K43" s="15"/>
      <c r="L43" s="15"/>
    </row>
    <row r="44" spans="1:12" x14ac:dyDescent="0.45">
      <c r="A44" s="2">
        <f t="shared" si="1"/>
        <v>43</v>
      </c>
      <c r="B44" t="s">
        <v>42</v>
      </c>
      <c r="C44" t="s">
        <v>646</v>
      </c>
      <c r="D44" t="s">
        <v>46</v>
      </c>
      <c r="E44" t="s">
        <v>46</v>
      </c>
      <c r="F44" s="2" t="s">
        <v>302</v>
      </c>
      <c r="G44" s="8"/>
      <c r="H44" s="10">
        <v>0.61290317351870005</v>
      </c>
      <c r="I44" s="10">
        <v>0.10169052706774299</v>
      </c>
      <c r="J44" s="13">
        <v>5.1118878889537603E-2</v>
      </c>
      <c r="L44" t="s">
        <v>638</v>
      </c>
    </row>
    <row r="45" spans="1:12" ht="14.65" thickBot="1" x14ac:dyDescent="0.5">
      <c r="A45" s="2">
        <f t="shared" si="1"/>
        <v>44</v>
      </c>
      <c r="B45" s="5" t="s">
        <v>42</v>
      </c>
      <c r="C45" s="5" t="s">
        <v>646</v>
      </c>
      <c r="D45" s="5" t="s">
        <v>47</v>
      </c>
      <c r="E45" s="5" t="s">
        <v>47</v>
      </c>
      <c r="F45" s="4" t="s">
        <v>302</v>
      </c>
      <c r="G45" s="5"/>
      <c r="H45" s="6">
        <v>1.21226204514824</v>
      </c>
      <c r="I45" s="6">
        <v>-3.6835772044667203E-2</v>
      </c>
      <c r="J45" s="23">
        <v>0.5</v>
      </c>
      <c r="K45" s="5"/>
      <c r="L45" s="5" t="s">
        <v>638</v>
      </c>
    </row>
    <row r="46" spans="1:12" x14ac:dyDescent="0.45">
      <c r="A46" s="2">
        <f t="shared" si="1"/>
        <v>45</v>
      </c>
      <c r="B46" s="21" t="s">
        <v>362</v>
      </c>
      <c r="C46" s="21" t="s">
        <v>687</v>
      </c>
      <c r="D46" s="21" t="s">
        <v>550</v>
      </c>
      <c r="E46" s="21" t="s">
        <v>551</v>
      </c>
      <c r="F46" s="7" t="s">
        <v>302</v>
      </c>
      <c r="G46" s="15"/>
      <c r="H46" s="20">
        <v>-0.87</v>
      </c>
      <c r="I46" s="20">
        <v>-0.01</v>
      </c>
      <c r="J46" s="13">
        <v>2.5</v>
      </c>
      <c r="L46" t="s">
        <v>638</v>
      </c>
    </row>
    <row r="47" spans="1:12" ht="14.65" thickBot="1" x14ac:dyDescent="0.5">
      <c r="A47" s="2">
        <f t="shared" si="1"/>
        <v>46</v>
      </c>
      <c r="B47" s="5" t="s">
        <v>362</v>
      </c>
      <c r="C47" s="5" t="s">
        <v>687</v>
      </c>
      <c r="D47" s="5" t="s">
        <v>363</v>
      </c>
      <c r="E47" s="5" t="s">
        <v>396</v>
      </c>
      <c r="F47" s="4" t="s">
        <v>302</v>
      </c>
      <c r="G47" s="5"/>
      <c r="H47" s="6">
        <v>-5.6735883010661703E-4</v>
      </c>
      <c r="I47" s="6">
        <v>2.4336824768486599E-4</v>
      </c>
      <c r="J47" s="23">
        <v>1.44267711898595</v>
      </c>
      <c r="K47" s="5"/>
      <c r="L47" s="5" t="s">
        <v>638</v>
      </c>
    </row>
    <row r="48" spans="1:12" x14ac:dyDescent="0.45">
      <c r="A48" s="2">
        <f t="shared" si="1"/>
        <v>47</v>
      </c>
      <c r="B48" t="s">
        <v>48</v>
      </c>
      <c r="C48" s="21" t="s">
        <v>645</v>
      </c>
      <c r="D48" t="s">
        <v>305</v>
      </c>
      <c r="E48" t="s">
        <v>552</v>
      </c>
      <c r="F48" s="2" t="s">
        <v>302</v>
      </c>
      <c r="H48" s="3">
        <v>1.6172506738544298E-2</v>
      </c>
      <c r="I48" s="3">
        <v>-1.1551790527531801E-2</v>
      </c>
      <c r="J48" s="13">
        <v>0.25</v>
      </c>
      <c r="L48" t="s">
        <v>638</v>
      </c>
    </row>
    <row r="49" spans="1:12" x14ac:dyDescent="0.45">
      <c r="A49" s="2">
        <f t="shared" si="1"/>
        <v>48</v>
      </c>
      <c r="B49" t="s">
        <v>48</v>
      </c>
      <c r="C49" s="21" t="s">
        <v>645</v>
      </c>
      <c r="D49" t="s">
        <v>49</v>
      </c>
      <c r="E49" t="s">
        <v>553</v>
      </c>
      <c r="F49" s="2" t="s">
        <v>302</v>
      </c>
      <c r="H49" s="3">
        <v>2.3103581055063601E-2</v>
      </c>
      <c r="I49" s="3">
        <v>2.3103581055063601E-2</v>
      </c>
      <c r="J49" s="13">
        <v>0.188155844621577</v>
      </c>
    </row>
    <row r="50" spans="1:12" x14ac:dyDescent="0.45">
      <c r="A50" s="2">
        <f t="shared" si="1"/>
        <v>49</v>
      </c>
      <c r="B50" t="s">
        <v>48</v>
      </c>
      <c r="C50" t="s">
        <v>645</v>
      </c>
      <c r="D50" t="s">
        <v>50</v>
      </c>
      <c r="E50" t="s">
        <v>397</v>
      </c>
      <c r="F50" s="2" t="s">
        <v>302</v>
      </c>
      <c r="H50" s="3">
        <v>-0.71332306507508603</v>
      </c>
      <c r="I50" s="3">
        <v>6.3534847901424796E-3</v>
      </c>
      <c r="J50" s="13">
        <v>1</v>
      </c>
      <c r="L50" t="s">
        <v>638</v>
      </c>
    </row>
    <row r="51" spans="1:12" x14ac:dyDescent="0.45">
      <c r="A51" s="2">
        <f t="shared" si="1"/>
        <v>50</v>
      </c>
      <c r="B51" t="s">
        <v>48</v>
      </c>
      <c r="C51" t="s">
        <v>645</v>
      </c>
      <c r="D51" t="s">
        <v>51</v>
      </c>
      <c r="E51" t="s">
        <v>554</v>
      </c>
      <c r="F51" s="2" t="s">
        <v>302</v>
      </c>
      <c r="H51" s="3">
        <v>-1.1200000000000001</v>
      </c>
      <c r="I51" s="3">
        <v>0.17999999999999899</v>
      </c>
      <c r="J51" s="13">
        <v>7.9012646000000006E-2</v>
      </c>
      <c r="L51" t="s">
        <v>638</v>
      </c>
    </row>
    <row r="52" spans="1:12" x14ac:dyDescent="0.45">
      <c r="A52" s="2">
        <f t="shared" si="1"/>
        <v>51</v>
      </c>
      <c r="B52" s="15" t="s">
        <v>48</v>
      </c>
      <c r="C52" s="15" t="s">
        <v>645</v>
      </c>
      <c r="D52" s="15" t="s">
        <v>52</v>
      </c>
      <c r="E52" s="15" t="s">
        <v>555</v>
      </c>
      <c r="F52" s="7" t="s">
        <v>302</v>
      </c>
      <c r="G52" s="15"/>
      <c r="H52" s="3">
        <v>1.5213319458896899</v>
      </c>
      <c r="I52" s="11">
        <v>6.03537981269512E-2</v>
      </c>
      <c r="J52" s="24">
        <v>0.28717458785941602</v>
      </c>
      <c r="K52" s="15"/>
      <c r="L52" s="15" t="s">
        <v>638</v>
      </c>
    </row>
    <row r="53" spans="1:12" x14ac:dyDescent="0.45">
      <c r="A53" s="2">
        <f t="shared" si="1"/>
        <v>52</v>
      </c>
      <c r="B53" t="s">
        <v>48</v>
      </c>
      <c r="C53" t="s">
        <v>645</v>
      </c>
      <c r="D53" t="s">
        <v>53</v>
      </c>
      <c r="E53" t="s">
        <v>557</v>
      </c>
      <c r="F53" s="2" t="s">
        <v>302</v>
      </c>
      <c r="H53" s="3">
        <v>0</v>
      </c>
      <c r="I53" s="10">
        <v>0</v>
      </c>
      <c r="J53" s="13">
        <v>0.5</v>
      </c>
      <c r="L53" t="s">
        <v>638</v>
      </c>
    </row>
    <row r="54" spans="1:12" x14ac:dyDescent="0.45">
      <c r="A54" s="2">
        <f t="shared" si="1"/>
        <v>53</v>
      </c>
      <c r="B54" t="s">
        <v>48</v>
      </c>
      <c r="C54" t="s">
        <v>645</v>
      </c>
      <c r="D54" t="s">
        <v>306</v>
      </c>
      <c r="E54" t="s">
        <v>556</v>
      </c>
      <c r="F54" s="2" t="s">
        <v>302</v>
      </c>
      <c r="H54" s="3">
        <v>0</v>
      </c>
      <c r="I54" s="10">
        <v>0</v>
      </c>
      <c r="J54" s="13">
        <v>0.5</v>
      </c>
      <c r="L54" t="s">
        <v>638</v>
      </c>
    </row>
    <row r="55" spans="1:12" ht="14.65" thickBot="1" x14ac:dyDescent="0.5">
      <c r="A55" s="2">
        <f t="shared" ref="A51:A106" si="2">A54+1</f>
        <v>54</v>
      </c>
      <c r="B55" s="5" t="s">
        <v>48</v>
      </c>
      <c r="C55" s="5" t="s">
        <v>645</v>
      </c>
      <c r="D55" s="5" t="s">
        <v>307</v>
      </c>
      <c r="E55" s="5" t="s">
        <v>558</v>
      </c>
      <c r="F55" s="4" t="s">
        <v>302</v>
      </c>
      <c r="G55" s="5"/>
      <c r="H55" s="6">
        <v>1.23110998108105</v>
      </c>
      <c r="I55" s="6">
        <v>4.0223228860426202E-2</v>
      </c>
      <c r="J55" s="23">
        <v>0.28717458741449498</v>
      </c>
      <c r="K55" s="5"/>
      <c r="L55" s="5" t="s">
        <v>638</v>
      </c>
    </row>
    <row r="56" spans="1:12" x14ac:dyDescent="0.45">
      <c r="A56" s="2">
        <f t="shared" si="2"/>
        <v>55</v>
      </c>
      <c r="B56" t="s">
        <v>54</v>
      </c>
      <c r="C56" t="s">
        <v>652</v>
      </c>
      <c r="D56" t="s">
        <v>55</v>
      </c>
      <c r="E56" t="s">
        <v>559</v>
      </c>
      <c r="F56" s="2" t="s">
        <v>302</v>
      </c>
      <c r="H56" s="3"/>
      <c r="I56" s="3"/>
      <c r="J56" s="13" t="e">
        <f>IF(#REF!&lt;&gt;0,3/#REF!,"N/A")</f>
        <v>#REF!</v>
      </c>
      <c r="L56" t="s">
        <v>638</v>
      </c>
    </row>
    <row r="57" spans="1:12" x14ac:dyDescent="0.45">
      <c r="A57" s="2">
        <f t="shared" si="2"/>
        <v>56</v>
      </c>
      <c r="B57" t="s">
        <v>54</v>
      </c>
      <c r="C57" t="s">
        <v>652</v>
      </c>
      <c r="D57" t="s">
        <v>56</v>
      </c>
      <c r="E57" t="s">
        <v>560</v>
      </c>
      <c r="F57" s="2" t="s">
        <v>302</v>
      </c>
      <c r="H57" s="3"/>
      <c r="I57" s="3"/>
      <c r="J57" s="13" t="e">
        <f>IF(#REF!&lt;&gt;0,3/#REF!,"N/A")</f>
        <v>#REF!</v>
      </c>
      <c r="L57" t="s">
        <v>638</v>
      </c>
    </row>
    <row r="58" spans="1:12" x14ac:dyDescent="0.45">
      <c r="A58" s="2">
        <f t="shared" si="2"/>
        <v>57</v>
      </c>
      <c r="B58" s="15" t="s">
        <v>54</v>
      </c>
      <c r="C58" s="15" t="s">
        <v>652</v>
      </c>
      <c r="D58" s="15" t="s">
        <v>57</v>
      </c>
      <c r="E58" s="15" t="s">
        <v>398</v>
      </c>
      <c r="F58" s="7" t="s">
        <v>302</v>
      </c>
      <c r="G58" s="15"/>
      <c r="H58" s="20"/>
      <c r="I58" s="20"/>
      <c r="J58" s="24" t="e">
        <f>IF(#REF!&lt;&gt;0,3/#REF!,"N/A")</f>
        <v>#REF!</v>
      </c>
      <c r="K58" s="15"/>
      <c r="L58" t="s">
        <v>638</v>
      </c>
    </row>
    <row r="59" spans="1:12" ht="14.65" thickBot="1" x14ac:dyDescent="0.5">
      <c r="A59" s="2">
        <f t="shared" si="2"/>
        <v>58</v>
      </c>
      <c r="B59" s="5" t="s">
        <v>54</v>
      </c>
      <c r="C59" s="5" t="s">
        <v>652</v>
      </c>
      <c r="D59" s="5" t="s">
        <v>58</v>
      </c>
      <c r="E59" s="5" t="s">
        <v>561</v>
      </c>
      <c r="F59" s="4" t="s">
        <v>302</v>
      </c>
      <c r="G59" s="5"/>
      <c r="H59" s="6"/>
      <c r="I59" s="6"/>
      <c r="J59" s="23" t="e">
        <f>IF(#REF!&lt;&gt;0,3/#REF!,"N/A")</f>
        <v>#REF!</v>
      </c>
      <c r="K59" s="5"/>
      <c r="L59" s="5" t="s">
        <v>638</v>
      </c>
    </row>
    <row r="60" spans="1:12" x14ac:dyDescent="0.45">
      <c r="A60" s="2">
        <f t="shared" si="2"/>
        <v>59</v>
      </c>
      <c r="B60" s="21" t="s">
        <v>364</v>
      </c>
      <c r="C60" s="21" t="s">
        <v>687</v>
      </c>
      <c r="D60" s="21" t="s">
        <v>365</v>
      </c>
      <c r="E60" s="21" t="s">
        <v>562</v>
      </c>
      <c r="F60" s="7" t="s">
        <v>302</v>
      </c>
      <c r="G60" s="15"/>
      <c r="H60" s="20">
        <v>4.3229257991153E-3</v>
      </c>
      <c r="I60" s="20">
        <v>4.3608552897599802E-2</v>
      </c>
      <c r="J60" s="24" t="e">
        <f>IF(#REF!&lt;&gt;0,3/#REF!,"N/A")</f>
        <v>#REF!</v>
      </c>
      <c r="L60" t="s">
        <v>638</v>
      </c>
    </row>
    <row r="61" spans="1:12" ht="14.65" thickBot="1" x14ac:dyDescent="0.5">
      <c r="A61" s="2">
        <f t="shared" si="2"/>
        <v>60</v>
      </c>
      <c r="B61" s="5" t="s">
        <v>364</v>
      </c>
      <c r="C61" s="5" t="s">
        <v>687</v>
      </c>
      <c r="D61" s="5" t="s">
        <v>366</v>
      </c>
      <c r="E61" s="5" t="s">
        <v>563</v>
      </c>
      <c r="F61" s="4" t="s">
        <v>302</v>
      </c>
      <c r="G61" s="5"/>
      <c r="H61" s="6">
        <v>-7.0846644629357796</v>
      </c>
      <c r="I61" s="6">
        <v>0.148191759883506</v>
      </c>
      <c r="J61" s="23" t="e">
        <f>IF(#REF!&lt;&gt;0,3/#REF!,"N/A")</f>
        <v>#REF!</v>
      </c>
      <c r="K61" s="5"/>
      <c r="L61" s="5" t="s">
        <v>638</v>
      </c>
    </row>
    <row r="62" spans="1:12" x14ac:dyDescent="0.45">
      <c r="A62" s="2">
        <f t="shared" si="2"/>
        <v>61</v>
      </c>
      <c r="B62" t="s">
        <v>59</v>
      </c>
      <c r="C62" s="21" t="s">
        <v>655</v>
      </c>
      <c r="D62" t="s">
        <v>60</v>
      </c>
      <c r="E62" t="s">
        <v>564</v>
      </c>
      <c r="F62" s="2" t="s">
        <v>302</v>
      </c>
      <c r="H62" s="10">
        <v>0</v>
      </c>
      <c r="I62" s="10">
        <v>0</v>
      </c>
      <c r="J62" s="13" t="e">
        <f>IF(#REF!&lt;&gt;0,3/#REF!,"N/A")</f>
        <v>#REF!</v>
      </c>
      <c r="L62" t="s">
        <v>638</v>
      </c>
    </row>
    <row r="63" spans="1:12" x14ac:dyDescent="0.45">
      <c r="A63" s="2">
        <f t="shared" si="2"/>
        <v>62</v>
      </c>
      <c r="B63" s="15" t="s">
        <v>59</v>
      </c>
      <c r="C63" s="15" t="s">
        <v>655</v>
      </c>
      <c r="D63" s="15" t="s">
        <v>61</v>
      </c>
      <c r="E63" s="15" t="s">
        <v>654</v>
      </c>
      <c r="F63" s="7" t="s">
        <v>302</v>
      </c>
      <c r="G63" s="9"/>
      <c r="H63" s="11">
        <v>-0.5</v>
      </c>
      <c r="I63" s="11">
        <v>0</v>
      </c>
      <c r="J63" s="24" t="e">
        <f>IF(#REF!&lt;&gt;0,3/#REF!,"N/A")</f>
        <v>#REF!</v>
      </c>
      <c r="K63" s="15"/>
      <c r="L63" s="15" t="s">
        <v>638</v>
      </c>
    </row>
    <row r="64" spans="1:12" x14ac:dyDescent="0.45">
      <c r="A64" s="2">
        <f t="shared" si="2"/>
        <v>63</v>
      </c>
      <c r="B64" t="s">
        <v>59</v>
      </c>
      <c r="C64" t="s">
        <v>655</v>
      </c>
      <c r="D64" t="s">
        <v>62</v>
      </c>
      <c r="E64" t="s">
        <v>400</v>
      </c>
      <c r="F64" s="2" t="s">
        <v>302</v>
      </c>
      <c r="G64" s="8"/>
      <c r="H64" s="10">
        <v>-0.6</v>
      </c>
      <c r="I64" s="10">
        <v>0</v>
      </c>
      <c r="J64" s="13" t="e">
        <f>IF(#REF!&lt;&gt;0,3/#REF!,"N/A")</f>
        <v>#REF!</v>
      </c>
      <c r="L64" t="s">
        <v>638</v>
      </c>
    </row>
    <row r="65" spans="1:12" x14ac:dyDescent="0.45">
      <c r="A65" s="2">
        <f t="shared" si="2"/>
        <v>64</v>
      </c>
      <c r="B65" s="15" t="s">
        <v>59</v>
      </c>
      <c r="C65" s="15" t="s">
        <v>655</v>
      </c>
      <c r="D65" s="15" t="s">
        <v>63</v>
      </c>
      <c r="E65" s="15" t="s">
        <v>401</v>
      </c>
      <c r="F65" s="7" t="s">
        <v>302</v>
      </c>
      <c r="G65" s="9"/>
      <c r="H65" s="11">
        <v>-0.4</v>
      </c>
      <c r="I65" s="11">
        <v>-0.3</v>
      </c>
      <c r="J65" s="24" t="e">
        <f>IF(#REF!&lt;&gt;0,3/#REF!,"N/A")</f>
        <v>#REF!</v>
      </c>
      <c r="K65" s="15"/>
      <c r="L65" s="15" t="s">
        <v>638</v>
      </c>
    </row>
    <row r="66" spans="1:12" x14ac:dyDescent="0.45">
      <c r="A66" s="2">
        <f t="shared" si="2"/>
        <v>65</v>
      </c>
      <c r="B66" t="s">
        <v>59</v>
      </c>
      <c r="C66" t="s">
        <v>655</v>
      </c>
      <c r="D66" t="s">
        <v>64</v>
      </c>
      <c r="E66" t="s">
        <v>402</v>
      </c>
      <c r="F66" s="2" t="s">
        <v>302</v>
      </c>
      <c r="G66" s="8"/>
      <c r="H66" s="10">
        <v>-0.8</v>
      </c>
      <c r="I66" s="10">
        <v>-0.5</v>
      </c>
      <c r="J66" s="13" t="e">
        <f>IF(#REF!&lt;&gt;0,3/#REF!,"N/A")</f>
        <v>#REF!</v>
      </c>
      <c r="L66" t="s">
        <v>638</v>
      </c>
    </row>
    <row r="67" spans="1:12" x14ac:dyDescent="0.45">
      <c r="A67" s="2">
        <f t="shared" si="2"/>
        <v>66</v>
      </c>
      <c r="B67" t="s">
        <v>59</v>
      </c>
      <c r="C67" t="s">
        <v>655</v>
      </c>
      <c r="D67" t="s">
        <v>65</v>
      </c>
      <c r="E67" t="s">
        <v>403</v>
      </c>
      <c r="F67" s="2" t="s">
        <v>302</v>
      </c>
      <c r="G67" s="8"/>
      <c r="H67" s="10">
        <v>-0.5</v>
      </c>
      <c r="I67" s="10">
        <v>0</v>
      </c>
      <c r="J67" s="13" t="e">
        <f>IF(#REF!&lt;&gt;0,3/#REF!,"N/A")</f>
        <v>#REF!</v>
      </c>
      <c r="L67" t="s">
        <v>638</v>
      </c>
    </row>
    <row r="68" spans="1:12" ht="12.75" customHeight="1" x14ac:dyDescent="0.45">
      <c r="A68" s="2">
        <f t="shared" si="2"/>
        <v>67</v>
      </c>
      <c r="B68" t="s">
        <v>59</v>
      </c>
      <c r="C68" t="s">
        <v>655</v>
      </c>
      <c r="D68" t="s">
        <v>66</v>
      </c>
      <c r="E68" t="s">
        <v>66</v>
      </c>
      <c r="F68" s="2" t="s">
        <v>302</v>
      </c>
      <c r="G68" s="8" t="s">
        <v>332</v>
      </c>
      <c r="H68" s="10"/>
      <c r="I68" s="10"/>
      <c r="J68" s="13" t="e">
        <f>IF(#REF!&lt;&gt;0,3/#REF!,"N/A")</f>
        <v>#REF!</v>
      </c>
      <c r="L68" t="s">
        <v>638</v>
      </c>
    </row>
    <row r="69" spans="1:12" ht="14.65" thickBot="1" x14ac:dyDescent="0.5">
      <c r="A69" s="2">
        <f t="shared" si="2"/>
        <v>68</v>
      </c>
      <c r="B69" s="5" t="s">
        <v>59</v>
      </c>
      <c r="C69" s="5" t="s">
        <v>655</v>
      </c>
      <c r="D69" s="5" t="s">
        <v>67</v>
      </c>
      <c r="E69" s="5" t="s">
        <v>67</v>
      </c>
      <c r="F69" s="4" t="s">
        <v>302</v>
      </c>
      <c r="G69" s="5"/>
      <c r="H69" s="6">
        <v>0</v>
      </c>
      <c r="I69" s="6">
        <v>0</v>
      </c>
      <c r="J69" s="23" t="e">
        <f>IF(#REF!&lt;&gt;0,3/#REF!,"N/A")</f>
        <v>#REF!</v>
      </c>
      <c r="K69" s="5"/>
      <c r="L69" s="5" t="s">
        <v>638</v>
      </c>
    </row>
    <row r="70" spans="1:12" x14ac:dyDescent="0.45">
      <c r="A70" s="2">
        <f t="shared" si="2"/>
        <v>69</v>
      </c>
      <c r="B70" t="s">
        <v>68</v>
      </c>
      <c r="C70" t="s">
        <v>669</v>
      </c>
      <c r="D70" t="s">
        <v>69</v>
      </c>
      <c r="E70" t="s">
        <v>404</v>
      </c>
      <c r="F70" s="2" t="s">
        <v>302</v>
      </c>
      <c r="G70" s="8"/>
      <c r="H70" s="10">
        <v>-0.5</v>
      </c>
      <c r="I70" s="10">
        <v>0</v>
      </c>
      <c r="J70" s="13" t="e">
        <f>IF(#REF!&lt;&gt;0,3/#REF!,"N/A")</f>
        <v>#REF!</v>
      </c>
      <c r="L70" t="s">
        <v>638</v>
      </c>
    </row>
    <row r="71" spans="1:12" x14ac:dyDescent="0.45">
      <c r="A71" s="2">
        <f t="shared" si="2"/>
        <v>70</v>
      </c>
      <c r="B71" t="s">
        <v>68</v>
      </c>
      <c r="D71" t="s">
        <v>70</v>
      </c>
      <c r="E71" t="s">
        <v>565</v>
      </c>
      <c r="F71" s="2" t="s">
        <v>302</v>
      </c>
      <c r="G71" s="8"/>
      <c r="H71" s="2"/>
      <c r="I71" s="2"/>
      <c r="J71" s="2" t="e">
        <f>IF(#REF!&lt;&gt;0,3/#REF!,"N/A")</f>
        <v>#REF!</v>
      </c>
      <c r="L71" t="s">
        <v>638</v>
      </c>
    </row>
    <row r="72" spans="1:12" ht="14.65" thickBot="1" x14ac:dyDescent="0.5">
      <c r="A72" s="2">
        <f t="shared" si="2"/>
        <v>71</v>
      </c>
      <c r="B72" s="5" t="s">
        <v>68</v>
      </c>
      <c r="C72" s="5" t="s">
        <v>650</v>
      </c>
      <c r="D72" s="5" t="s">
        <v>71</v>
      </c>
      <c r="E72" s="5" t="s">
        <v>405</v>
      </c>
      <c r="F72" s="4" t="s">
        <v>302</v>
      </c>
      <c r="G72" s="5"/>
      <c r="H72" s="6">
        <v>-0.5</v>
      </c>
      <c r="I72" s="6">
        <v>0</v>
      </c>
      <c r="J72" s="23" t="e">
        <f>IF(#REF!&lt;&gt;0,3/#REF!,"N/A")</f>
        <v>#REF!</v>
      </c>
      <c r="K72" s="5"/>
      <c r="L72" s="5" t="s">
        <v>638</v>
      </c>
    </row>
    <row r="73" spans="1:12" x14ac:dyDescent="0.45">
      <c r="A73" s="2">
        <f t="shared" si="2"/>
        <v>72</v>
      </c>
      <c r="B73" t="s">
        <v>72</v>
      </c>
      <c r="C73" t="s">
        <v>657</v>
      </c>
      <c r="D73" t="s">
        <v>73</v>
      </c>
      <c r="E73" t="s">
        <v>406</v>
      </c>
      <c r="F73" s="2" t="s">
        <v>302</v>
      </c>
      <c r="G73" s="8"/>
      <c r="H73" s="10">
        <v>0.5</v>
      </c>
      <c r="I73" s="10">
        <v>0</v>
      </c>
      <c r="J73" s="13" t="e">
        <f>IF(#REF!&lt;&gt;0,3/#REF!,"N/A")</f>
        <v>#REF!</v>
      </c>
      <c r="L73" t="s">
        <v>638</v>
      </c>
    </row>
    <row r="74" spans="1:12" x14ac:dyDescent="0.45">
      <c r="A74" s="2">
        <f t="shared" si="2"/>
        <v>73</v>
      </c>
      <c r="B74" t="s">
        <v>72</v>
      </c>
      <c r="C74" t="s">
        <v>651</v>
      </c>
      <c r="D74" t="s">
        <v>74</v>
      </c>
      <c r="E74" t="s">
        <v>407</v>
      </c>
      <c r="F74" s="2" t="s">
        <v>302</v>
      </c>
      <c r="H74" s="3">
        <v>-1</v>
      </c>
      <c r="I74" s="3">
        <v>0</v>
      </c>
      <c r="J74" s="13" t="e">
        <f>IF(#REF!&lt;&gt;0,3/#REF!,"N/A")</f>
        <v>#REF!</v>
      </c>
      <c r="L74" t="s">
        <v>638</v>
      </c>
    </row>
    <row r="75" spans="1:12" x14ac:dyDescent="0.45">
      <c r="A75" s="2">
        <f t="shared" si="2"/>
        <v>74</v>
      </c>
      <c r="B75" s="15" t="s">
        <v>72</v>
      </c>
      <c r="C75" s="15" t="s">
        <v>657</v>
      </c>
      <c r="D75" s="15" t="s">
        <v>75</v>
      </c>
      <c r="E75" s="15" t="s">
        <v>408</v>
      </c>
      <c r="F75" s="7" t="s">
        <v>302</v>
      </c>
      <c r="G75" s="9"/>
      <c r="H75" s="11"/>
      <c r="I75" s="11"/>
      <c r="J75" s="24" t="e">
        <f>IF(#REF!&lt;&gt;0,3/#REF!,"N/A")</f>
        <v>#REF!</v>
      </c>
      <c r="K75" s="15"/>
      <c r="L75" s="15" t="s">
        <v>638</v>
      </c>
    </row>
    <row r="76" spans="1:12" x14ac:dyDescent="0.45">
      <c r="A76" s="2">
        <f t="shared" si="2"/>
        <v>75</v>
      </c>
      <c r="B76" t="s">
        <v>72</v>
      </c>
      <c r="C76" t="s">
        <v>657</v>
      </c>
      <c r="D76" t="s">
        <v>658</v>
      </c>
      <c r="E76" t="s">
        <v>409</v>
      </c>
      <c r="F76" s="2" t="s">
        <v>302</v>
      </c>
      <c r="G76" s="8"/>
      <c r="H76" s="10">
        <v>-1</v>
      </c>
      <c r="I76" s="10">
        <v>0</v>
      </c>
      <c r="J76" s="13" t="e">
        <f>IF(#REF!&lt;&gt;0,3/#REF!,"N/A")</f>
        <v>#REF!</v>
      </c>
      <c r="L76" t="s">
        <v>638</v>
      </c>
    </row>
    <row r="77" spans="1:12" x14ac:dyDescent="0.45">
      <c r="A77" s="2">
        <f t="shared" si="2"/>
        <v>76</v>
      </c>
      <c r="B77" t="s">
        <v>72</v>
      </c>
      <c r="C77" t="s">
        <v>657</v>
      </c>
      <c r="D77" t="s">
        <v>76</v>
      </c>
      <c r="E77" t="s">
        <v>410</v>
      </c>
      <c r="F77" s="2" t="s">
        <v>302</v>
      </c>
      <c r="G77" s="8"/>
      <c r="H77" s="10"/>
      <c r="I77" s="10"/>
      <c r="J77" s="13" t="e">
        <f>IF(#REF!&lt;&gt;0,3/#REF!,"N/A")</f>
        <v>#REF!</v>
      </c>
      <c r="L77" t="s">
        <v>638</v>
      </c>
    </row>
    <row r="78" spans="1:12" x14ac:dyDescent="0.45">
      <c r="A78" s="2">
        <f t="shared" si="2"/>
        <v>77</v>
      </c>
      <c r="B78" t="s">
        <v>72</v>
      </c>
      <c r="C78" t="s">
        <v>651</v>
      </c>
      <c r="D78" t="s">
        <v>77</v>
      </c>
      <c r="E78" t="s">
        <v>566</v>
      </c>
      <c r="F78" s="2" t="s">
        <v>302</v>
      </c>
      <c r="G78" s="8"/>
      <c r="H78" s="10">
        <v>-2.5</v>
      </c>
      <c r="I78" s="10">
        <v>0</v>
      </c>
      <c r="J78" s="13" t="e">
        <f>IF(#REF!&lt;&gt;0,3/#REF!,"N/A")</f>
        <v>#REF!</v>
      </c>
      <c r="L78" t="s">
        <v>638</v>
      </c>
    </row>
    <row r="79" spans="1:12" x14ac:dyDescent="0.45">
      <c r="A79" s="2">
        <f t="shared" si="2"/>
        <v>78</v>
      </c>
      <c r="B79" t="s">
        <v>72</v>
      </c>
      <c r="C79" t="s">
        <v>651</v>
      </c>
      <c r="D79" t="s">
        <v>78</v>
      </c>
      <c r="E79" t="s">
        <v>567</v>
      </c>
      <c r="F79" s="2" t="s">
        <v>302</v>
      </c>
      <c r="G79" s="8"/>
      <c r="H79" s="10">
        <v>0</v>
      </c>
      <c r="I79" s="10">
        <v>0</v>
      </c>
      <c r="J79" s="13" t="e">
        <f>IF(#REF!&lt;&gt;0,3/#REF!,"N/A")</f>
        <v>#REF!</v>
      </c>
      <c r="L79" t="s">
        <v>638</v>
      </c>
    </row>
    <row r="80" spans="1:12" x14ac:dyDescent="0.45">
      <c r="A80" s="2">
        <f t="shared" si="2"/>
        <v>79</v>
      </c>
      <c r="B80" t="s">
        <v>72</v>
      </c>
      <c r="C80" t="s">
        <v>651</v>
      </c>
      <c r="D80" t="s">
        <v>79</v>
      </c>
      <c r="E80" t="s">
        <v>568</v>
      </c>
      <c r="F80" s="2" t="s">
        <v>302</v>
      </c>
      <c r="G80" s="8"/>
      <c r="H80" s="10">
        <v>0.875</v>
      </c>
      <c r="I80" s="10">
        <v>0</v>
      </c>
      <c r="J80" s="13" t="e">
        <f>IF(#REF!&lt;&gt;0,3/#REF!,"N/A")</f>
        <v>#REF!</v>
      </c>
      <c r="L80" t="s">
        <v>638</v>
      </c>
    </row>
    <row r="81" spans="1:12" x14ac:dyDescent="0.45">
      <c r="A81" s="2">
        <f t="shared" si="2"/>
        <v>80</v>
      </c>
      <c r="B81" t="s">
        <v>72</v>
      </c>
      <c r="C81" t="s">
        <v>657</v>
      </c>
      <c r="D81" t="s">
        <v>80</v>
      </c>
      <c r="E81" t="s">
        <v>411</v>
      </c>
      <c r="F81" s="2" t="s">
        <v>302</v>
      </c>
      <c r="G81" s="8"/>
      <c r="H81" s="10">
        <v>0.24</v>
      </c>
      <c r="I81" s="10">
        <v>-0.3</v>
      </c>
      <c r="J81" s="13" t="e">
        <f>IF(#REF!&lt;&gt;0,3/#REF!,"N/A")</f>
        <v>#REF!</v>
      </c>
      <c r="L81" t="s">
        <v>638</v>
      </c>
    </row>
    <row r="82" spans="1:12" x14ac:dyDescent="0.45">
      <c r="A82" s="2">
        <f t="shared" si="2"/>
        <v>81</v>
      </c>
      <c r="B82" t="s">
        <v>72</v>
      </c>
      <c r="C82" t="s">
        <v>651</v>
      </c>
      <c r="D82" t="s">
        <v>81</v>
      </c>
      <c r="E82" t="s">
        <v>569</v>
      </c>
      <c r="F82" s="2" t="s">
        <v>302</v>
      </c>
      <c r="G82" s="8"/>
      <c r="H82" s="10">
        <v>-1.75</v>
      </c>
      <c r="I82" s="10">
        <v>0</v>
      </c>
      <c r="J82" s="13" t="e">
        <f>IF(#REF!&lt;&gt;0,3/#REF!,"N/A")</f>
        <v>#REF!</v>
      </c>
      <c r="L82" t="s">
        <v>638</v>
      </c>
    </row>
    <row r="83" spans="1:12" x14ac:dyDescent="0.45">
      <c r="A83" s="2">
        <f t="shared" si="2"/>
        <v>82</v>
      </c>
      <c r="B83" s="15" t="s">
        <v>72</v>
      </c>
      <c r="C83" s="15" t="s">
        <v>657</v>
      </c>
      <c r="D83" s="15" t="s">
        <v>82</v>
      </c>
      <c r="E83" s="15" t="s">
        <v>412</v>
      </c>
      <c r="F83" s="7" t="s">
        <v>302</v>
      </c>
      <c r="G83" s="9"/>
      <c r="H83" s="11">
        <v>0.75</v>
      </c>
      <c r="I83" s="11">
        <v>0</v>
      </c>
      <c r="J83" s="24" t="e">
        <f>IF(#REF!&lt;&gt;0,3/#REF!,"N/A")</f>
        <v>#REF!</v>
      </c>
      <c r="K83" s="15"/>
      <c r="L83" s="15" t="s">
        <v>638</v>
      </c>
    </row>
    <row r="84" spans="1:12" ht="14.65" thickBot="1" x14ac:dyDescent="0.5">
      <c r="A84" s="2">
        <f t="shared" si="2"/>
        <v>83</v>
      </c>
      <c r="B84" s="5" t="s">
        <v>72</v>
      </c>
      <c r="C84" s="5" t="s">
        <v>651</v>
      </c>
      <c r="D84" s="5" t="s">
        <v>83</v>
      </c>
      <c r="E84" s="5" t="s">
        <v>570</v>
      </c>
      <c r="F84" s="4" t="s">
        <v>302</v>
      </c>
      <c r="G84" s="5"/>
      <c r="H84" s="6">
        <v>0.5</v>
      </c>
      <c r="I84" s="6">
        <v>0</v>
      </c>
      <c r="J84" s="23" t="e">
        <f>IF(#REF!&lt;&gt;0,3/#REF!,"N/A")</f>
        <v>#REF!</v>
      </c>
      <c r="K84" s="5"/>
      <c r="L84" s="5" t="s">
        <v>638</v>
      </c>
    </row>
    <row r="85" spans="1:12" x14ac:dyDescent="0.45">
      <c r="A85" s="2">
        <f t="shared" si="2"/>
        <v>84</v>
      </c>
      <c r="B85" t="s">
        <v>84</v>
      </c>
      <c r="C85" t="s">
        <v>665</v>
      </c>
      <c r="D85" t="s">
        <v>89</v>
      </c>
      <c r="E85" t="s">
        <v>417</v>
      </c>
      <c r="F85" s="2" t="s">
        <v>302</v>
      </c>
      <c r="G85" s="8" t="s">
        <v>333</v>
      </c>
      <c r="H85" s="10"/>
      <c r="I85" s="10"/>
      <c r="J85" s="13" t="e">
        <f>IF(#REF!&lt;&gt;0,3/#REF!,"N/A")</f>
        <v>#REF!</v>
      </c>
      <c r="L85" t="s">
        <v>638</v>
      </c>
    </row>
    <row r="86" spans="1:12" x14ac:dyDescent="0.45">
      <c r="A86" s="2">
        <f t="shared" si="2"/>
        <v>85</v>
      </c>
      <c r="B86" t="s">
        <v>84</v>
      </c>
      <c r="C86" t="s">
        <v>665</v>
      </c>
      <c r="D86" t="s">
        <v>85</v>
      </c>
      <c r="E86" t="s">
        <v>413</v>
      </c>
      <c r="F86" s="2" t="s">
        <v>302</v>
      </c>
      <c r="G86" s="8"/>
      <c r="H86" s="10"/>
      <c r="I86" s="10"/>
      <c r="J86" s="13" t="e">
        <f>IF(#REF!&lt;&gt;0,3/#REF!,"N/A")</f>
        <v>#REF!</v>
      </c>
      <c r="L86" t="s">
        <v>638</v>
      </c>
    </row>
    <row r="87" spans="1:12" x14ac:dyDescent="0.45">
      <c r="A87" s="2">
        <f t="shared" si="2"/>
        <v>86</v>
      </c>
      <c r="B87" s="15" t="s">
        <v>84</v>
      </c>
      <c r="C87" s="15" t="s">
        <v>665</v>
      </c>
      <c r="D87" s="15" t="s">
        <v>86</v>
      </c>
      <c r="E87" s="15" t="s">
        <v>414</v>
      </c>
      <c r="F87" s="7" t="s">
        <v>302</v>
      </c>
      <c r="G87" s="9"/>
      <c r="H87" s="11"/>
      <c r="I87" s="11"/>
      <c r="J87" s="24" t="e">
        <f>IF(#REF!&lt;&gt;0,3/#REF!,"N/A")</f>
        <v>#REF!</v>
      </c>
      <c r="K87" s="15"/>
      <c r="L87" s="15" t="s">
        <v>638</v>
      </c>
    </row>
    <row r="88" spans="1:12" x14ac:dyDescent="0.45">
      <c r="A88" s="2">
        <f t="shared" si="2"/>
        <v>87</v>
      </c>
      <c r="B88" t="s">
        <v>84</v>
      </c>
      <c r="C88" t="s">
        <v>665</v>
      </c>
      <c r="D88" t="s">
        <v>87</v>
      </c>
      <c r="E88" t="s">
        <v>415</v>
      </c>
      <c r="F88" s="2" t="s">
        <v>302</v>
      </c>
      <c r="G88" s="8"/>
      <c r="H88" s="10">
        <v>0</v>
      </c>
      <c r="I88" s="10">
        <v>0</v>
      </c>
      <c r="J88" s="13" t="e">
        <f>IF(#REF!&lt;&gt;0,3/#REF!,"N/A")</f>
        <v>#REF!</v>
      </c>
      <c r="L88" t="s">
        <v>638</v>
      </c>
    </row>
    <row r="89" spans="1:12" ht="13.9" customHeight="1" x14ac:dyDescent="0.45">
      <c r="A89" s="2">
        <f t="shared" si="2"/>
        <v>88</v>
      </c>
      <c r="B89" t="s">
        <v>84</v>
      </c>
      <c r="C89" t="s">
        <v>665</v>
      </c>
      <c r="D89" t="s">
        <v>88</v>
      </c>
      <c r="E89" t="s">
        <v>416</v>
      </c>
      <c r="F89" s="2" t="s">
        <v>302</v>
      </c>
      <c r="G89" s="8"/>
      <c r="H89" s="10">
        <v>0</v>
      </c>
      <c r="I89" s="10">
        <v>0</v>
      </c>
      <c r="J89" s="13" t="e">
        <f>IF(#REF!&lt;&gt;0,3/#REF!,"N/A")</f>
        <v>#REF!</v>
      </c>
      <c r="L89" t="s">
        <v>638</v>
      </c>
    </row>
    <row r="90" spans="1:12" x14ac:dyDescent="0.45">
      <c r="A90" s="2">
        <f t="shared" si="2"/>
        <v>89</v>
      </c>
      <c r="B90" t="s">
        <v>84</v>
      </c>
      <c r="C90" t="s">
        <v>665</v>
      </c>
      <c r="D90" t="s">
        <v>90</v>
      </c>
      <c r="E90" t="s">
        <v>418</v>
      </c>
      <c r="F90" s="2" t="s">
        <v>302</v>
      </c>
      <c r="G90" s="8"/>
      <c r="H90" s="10">
        <v>-0.75</v>
      </c>
      <c r="I90" s="10">
        <v>0</v>
      </c>
      <c r="J90" s="13" t="e">
        <f>IF(#REF!&lt;&gt;0,3/#REF!,"N/A")</f>
        <v>#REF!</v>
      </c>
      <c r="L90" t="s">
        <v>638</v>
      </c>
    </row>
    <row r="91" spans="1:12" x14ac:dyDescent="0.45">
      <c r="A91" s="2">
        <f t="shared" si="2"/>
        <v>90</v>
      </c>
      <c r="B91" t="s">
        <v>84</v>
      </c>
      <c r="C91" t="s">
        <v>665</v>
      </c>
      <c r="D91" t="s">
        <v>91</v>
      </c>
      <c r="E91" t="s">
        <v>419</v>
      </c>
      <c r="F91" s="2" t="s">
        <v>302</v>
      </c>
      <c r="G91" s="8"/>
      <c r="H91" s="10"/>
      <c r="I91" s="10"/>
      <c r="J91" s="13" t="e">
        <f>IF(#REF!&lt;&gt;0,3/#REF!,"N/A")</f>
        <v>#REF!</v>
      </c>
      <c r="L91" t="s">
        <v>638</v>
      </c>
    </row>
    <row r="92" spans="1:12" ht="14.65" thickBot="1" x14ac:dyDescent="0.5">
      <c r="A92" s="2">
        <f t="shared" si="2"/>
        <v>91</v>
      </c>
      <c r="B92" s="5" t="s">
        <v>84</v>
      </c>
      <c r="C92" s="5" t="s">
        <v>665</v>
      </c>
      <c r="D92" s="5" t="s">
        <v>92</v>
      </c>
      <c r="E92" s="5" t="s">
        <v>420</v>
      </c>
      <c r="F92" s="4" t="s">
        <v>302</v>
      </c>
      <c r="G92" s="5"/>
      <c r="H92" s="6"/>
      <c r="I92" s="6"/>
      <c r="J92" s="23" t="e">
        <f>IF(#REF!&lt;&gt;0,3/#REF!,"N/A")</f>
        <v>#REF!</v>
      </c>
      <c r="K92" s="5"/>
      <c r="L92" s="5" t="s">
        <v>638</v>
      </c>
    </row>
    <row r="93" spans="1:12" x14ac:dyDescent="0.45">
      <c r="A93" s="2">
        <f t="shared" si="2"/>
        <v>92</v>
      </c>
      <c r="B93" t="s">
        <v>93</v>
      </c>
      <c r="C93" t="s">
        <v>664</v>
      </c>
      <c r="D93" t="s">
        <v>94</v>
      </c>
      <c r="E93" t="s">
        <v>421</v>
      </c>
      <c r="F93" s="2" t="s">
        <v>302</v>
      </c>
      <c r="G93" s="8"/>
      <c r="H93" s="10">
        <v>1</v>
      </c>
      <c r="I93" s="10">
        <v>0</v>
      </c>
      <c r="J93" s="13" t="e">
        <f>IF(#REF!&lt;&gt;0,3/#REF!,"N/A")</f>
        <v>#REF!</v>
      </c>
      <c r="L93" t="s">
        <v>638</v>
      </c>
    </row>
    <row r="94" spans="1:12" x14ac:dyDescent="0.45">
      <c r="A94" s="2">
        <f t="shared" si="2"/>
        <v>93</v>
      </c>
      <c r="B94" t="s">
        <v>93</v>
      </c>
      <c r="C94" t="s">
        <v>664</v>
      </c>
      <c r="D94" t="s">
        <v>95</v>
      </c>
      <c r="E94" t="s">
        <v>422</v>
      </c>
      <c r="F94" s="2" t="s">
        <v>302</v>
      </c>
      <c r="G94" s="8"/>
      <c r="H94" s="10">
        <v>-0.5</v>
      </c>
      <c r="I94" s="10">
        <v>0</v>
      </c>
      <c r="J94" s="13" t="e">
        <f>IF(#REF!&lt;&gt;0,3/#REF!,"N/A")</f>
        <v>#REF!</v>
      </c>
      <c r="L94" t="s">
        <v>638</v>
      </c>
    </row>
    <row r="95" spans="1:12" x14ac:dyDescent="0.45">
      <c r="A95" s="2">
        <f t="shared" si="2"/>
        <v>94</v>
      </c>
      <c r="B95" t="s">
        <v>93</v>
      </c>
      <c r="C95" t="s">
        <v>656</v>
      </c>
      <c r="D95" t="s">
        <v>97</v>
      </c>
      <c r="E95" t="s">
        <v>571</v>
      </c>
      <c r="F95" s="2" t="s">
        <v>302</v>
      </c>
      <c r="G95" s="8"/>
      <c r="H95" s="10">
        <v>-0.5</v>
      </c>
      <c r="I95" s="10">
        <v>0</v>
      </c>
      <c r="J95" s="13" t="e">
        <f>IF(#REF!&lt;&gt;0,3/#REF!,"N/A")</f>
        <v>#REF!</v>
      </c>
      <c r="L95" t="s">
        <v>638</v>
      </c>
    </row>
    <row r="96" spans="1:12" x14ac:dyDescent="0.45">
      <c r="A96" s="2">
        <f t="shared" si="2"/>
        <v>95</v>
      </c>
      <c r="B96" t="s">
        <v>93</v>
      </c>
      <c r="C96" t="s">
        <v>664</v>
      </c>
      <c r="D96" t="s">
        <v>96</v>
      </c>
      <c r="E96" t="s">
        <v>399</v>
      </c>
      <c r="F96" s="2" t="s">
        <v>302</v>
      </c>
      <c r="G96" s="8"/>
      <c r="H96" s="10">
        <v>-0.75</v>
      </c>
      <c r="I96" s="10">
        <v>0</v>
      </c>
      <c r="J96" s="13" t="e">
        <f>IF(#REF!&lt;&gt;0,3/#REF!,"N/A")</f>
        <v>#REF!</v>
      </c>
      <c r="L96" t="s">
        <v>638</v>
      </c>
    </row>
    <row r="97" spans="1:12" x14ac:dyDescent="0.45">
      <c r="A97" s="2">
        <f t="shared" si="2"/>
        <v>96</v>
      </c>
      <c r="B97" t="s">
        <v>93</v>
      </c>
      <c r="C97" t="s">
        <v>656</v>
      </c>
      <c r="D97" t="s">
        <v>98</v>
      </c>
      <c r="E97" t="s">
        <v>572</v>
      </c>
      <c r="F97" s="2" t="s">
        <v>302</v>
      </c>
      <c r="G97" s="8"/>
      <c r="H97" s="10">
        <v>0</v>
      </c>
      <c r="I97" s="10">
        <v>0</v>
      </c>
      <c r="J97" s="13" t="e">
        <f>IF(#REF!&lt;&gt;0,3/#REF!,"N/A")</f>
        <v>#REF!</v>
      </c>
      <c r="L97" t="s">
        <v>638</v>
      </c>
    </row>
    <row r="98" spans="1:12" x14ac:dyDescent="0.45">
      <c r="A98" s="2">
        <f t="shared" si="2"/>
        <v>97</v>
      </c>
      <c r="B98" s="15" t="s">
        <v>93</v>
      </c>
      <c r="C98" s="15" t="s">
        <v>656</v>
      </c>
      <c r="D98" s="15" t="s">
        <v>99</v>
      </c>
      <c r="E98" s="15" t="s">
        <v>573</v>
      </c>
      <c r="F98" s="7" t="s">
        <v>302</v>
      </c>
      <c r="G98" s="9"/>
      <c r="H98" s="11">
        <v>-1.4</v>
      </c>
      <c r="I98" s="11">
        <v>0</v>
      </c>
      <c r="J98" s="24" t="e">
        <f>IF(#REF!&lt;&gt;0,3/#REF!,"N/A")</f>
        <v>#REF!</v>
      </c>
      <c r="K98" s="15"/>
      <c r="L98" s="15" t="s">
        <v>638</v>
      </c>
    </row>
    <row r="99" spans="1:12" x14ac:dyDescent="0.45">
      <c r="A99" s="2">
        <f t="shared" si="2"/>
        <v>98</v>
      </c>
      <c r="B99" t="s">
        <v>93</v>
      </c>
      <c r="C99" t="s">
        <v>664</v>
      </c>
      <c r="D99" t="s">
        <v>100</v>
      </c>
      <c r="E99" t="s">
        <v>423</v>
      </c>
      <c r="F99" s="2" t="s">
        <v>302</v>
      </c>
      <c r="G99" s="8"/>
      <c r="H99" s="10">
        <v>-1.4</v>
      </c>
      <c r="I99" s="10">
        <v>0</v>
      </c>
      <c r="J99" s="13" t="e">
        <f>IF(#REF!&lt;&gt;0,3/#REF!,"N/A")</f>
        <v>#REF!</v>
      </c>
      <c r="L99" t="s">
        <v>638</v>
      </c>
    </row>
    <row r="100" spans="1:12" x14ac:dyDescent="0.45">
      <c r="A100" s="2">
        <f t="shared" si="2"/>
        <v>99</v>
      </c>
      <c r="B100" t="s">
        <v>93</v>
      </c>
      <c r="C100" t="s">
        <v>656</v>
      </c>
      <c r="D100" t="s">
        <v>101</v>
      </c>
      <c r="E100" t="s">
        <v>574</v>
      </c>
      <c r="F100" s="2" t="s">
        <v>302</v>
      </c>
      <c r="G100" s="8"/>
      <c r="H100" s="10">
        <v>-2</v>
      </c>
      <c r="I100" s="10">
        <v>0</v>
      </c>
      <c r="J100" s="13" t="e">
        <f>IF(#REF!&lt;&gt;0,3/#REF!,"N/A")</f>
        <v>#REF!</v>
      </c>
      <c r="L100" t="s">
        <v>638</v>
      </c>
    </row>
    <row r="101" spans="1:12" x14ac:dyDescent="0.45">
      <c r="A101" s="2">
        <f t="shared" si="2"/>
        <v>100</v>
      </c>
      <c r="B101" t="s">
        <v>93</v>
      </c>
      <c r="C101" t="s">
        <v>656</v>
      </c>
      <c r="D101" t="s">
        <v>102</v>
      </c>
      <c r="E101" t="s">
        <v>424</v>
      </c>
      <c r="F101" s="2" t="s">
        <v>302</v>
      </c>
      <c r="G101" s="8"/>
      <c r="H101" s="10">
        <v>0</v>
      </c>
      <c r="I101" s="10">
        <v>0</v>
      </c>
      <c r="J101" s="13" t="e">
        <f>IF(#REF!&lt;&gt;0,3/#REF!,"N/A")</f>
        <v>#REF!</v>
      </c>
      <c r="L101" t="s">
        <v>638</v>
      </c>
    </row>
    <row r="102" spans="1:12" x14ac:dyDescent="0.45">
      <c r="A102" s="2">
        <f t="shared" si="2"/>
        <v>101</v>
      </c>
      <c r="B102" t="s">
        <v>93</v>
      </c>
      <c r="C102" t="s">
        <v>656</v>
      </c>
      <c r="D102" t="s">
        <v>103</v>
      </c>
      <c r="E102" t="s">
        <v>575</v>
      </c>
      <c r="F102" s="2" t="s">
        <v>302</v>
      </c>
      <c r="G102" s="8"/>
      <c r="H102" s="10">
        <v>-0.75</v>
      </c>
      <c r="I102" s="10">
        <v>0</v>
      </c>
      <c r="J102" s="13" t="e">
        <f>IF(#REF!&lt;&gt;0,3/#REF!,"N/A")</f>
        <v>#REF!</v>
      </c>
      <c r="L102" t="s">
        <v>638</v>
      </c>
    </row>
    <row r="103" spans="1:12" x14ac:dyDescent="0.45">
      <c r="A103" s="2">
        <f t="shared" si="2"/>
        <v>102</v>
      </c>
      <c r="B103" s="15" t="s">
        <v>93</v>
      </c>
      <c r="C103" s="15" t="s">
        <v>656</v>
      </c>
      <c r="D103" s="15" t="s">
        <v>104</v>
      </c>
      <c r="E103" s="15" t="s">
        <v>425</v>
      </c>
      <c r="F103" s="7" t="s">
        <v>302</v>
      </c>
      <c r="G103" s="9"/>
      <c r="H103" s="11"/>
      <c r="I103" s="11"/>
      <c r="J103" s="24" t="e">
        <f>IF(#REF!&lt;&gt;0,3/#REF!,"N/A")</f>
        <v>#REF!</v>
      </c>
      <c r="K103" s="15"/>
      <c r="L103" s="15" t="s">
        <v>638</v>
      </c>
    </row>
    <row r="104" spans="1:12" x14ac:dyDescent="0.45">
      <c r="A104" s="2">
        <f t="shared" si="2"/>
        <v>103</v>
      </c>
      <c r="B104" t="s">
        <v>93</v>
      </c>
      <c r="C104" t="s">
        <v>664</v>
      </c>
      <c r="D104" t="s">
        <v>105</v>
      </c>
      <c r="E104" t="s">
        <v>426</v>
      </c>
      <c r="F104" s="2" t="s">
        <v>302</v>
      </c>
      <c r="G104" s="8"/>
      <c r="H104" s="10">
        <v>-0.5</v>
      </c>
      <c r="I104" s="10">
        <v>0</v>
      </c>
      <c r="J104" s="13" t="e">
        <f>IF(#REF!&lt;&gt;0,3/#REF!,"N/A")</f>
        <v>#REF!</v>
      </c>
      <c r="L104" t="s">
        <v>638</v>
      </c>
    </row>
    <row r="105" spans="1:12" x14ac:dyDescent="0.45">
      <c r="A105" s="2">
        <f t="shared" si="2"/>
        <v>104</v>
      </c>
      <c r="B105" t="s">
        <v>93</v>
      </c>
      <c r="C105" t="s">
        <v>656</v>
      </c>
      <c r="D105" t="s">
        <v>106</v>
      </c>
      <c r="E105" t="s">
        <v>576</v>
      </c>
      <c r="F105" s="2" t="s">
        <v>302</v>
      </c>
      <c r="G105" s="8"/>
      <c r="H105" s="10">
        <v>-0.75</v>
      </c>
      <c r="I105" s="10">
        <v>0</v>
      </c>
      <c r="J105" s="13" t="e">
        <f>IF(#REF!&lt;&gt;0,3/#REF!,"N/A")</f>
        <v>#REF!</v>
      </c>
      <c r="L105" t="s">
        <v>638</v>
      </c>
    </row>
    <row r="106" spans="1:12" x14ac:dyDescent="0.45">
      <c r="A106" s="2">
        <f t="shared" si="2"/>
        <v>105</v>
      </c>
      <c r="B106" t="s">
        <v>93</v>
      </c>
      <c r="C106" t="s">
        <v>664</v>
      </c>
      <c r="D106" t="s">
        <v>107</v>
      </c>
      <c r="E106" t="s">
        <v>427</v>
      </c>
      <c r="F106" s="2" t="s">
        <v>302</v>
      </c>
      <c r="G106" s="8"/>
      <c r="H106" s="10">
        <v>0</v>
      </c>
      <c r="I106" s="10">
        <v>0</v>
      </c>
      <c r="J106" s="13" t="e">
        <f>IF(#REF!&lt;&gt;0,3/#REF!,"N/A")</f>
        <v>#REF!</v>
      </c>
      <c r="L106" t="s">
        <v>638</v>
      </c>
    </row>
    <row r="107" spans="1:12" ht="20.65" customHeight="1" x14ac:dyDescent="0.45">
      <c r="A107" s="2">
        <f t="shared" ref="A107:A170" si="3">A106+1</f>
        <v>106</v>
      </c>
      <c r="B107" t="s">
        <v>93</v>
      </c>
      <c r="C107" t="s">
        <v>664</v>
      </c>
      <c r="D107" t="s">
        <v>108</v>
      </c>
      <c r="E107" t="s">
        <v>428</v>
      </c>
      <c r="F107" s="2" t="s">
        <v>302</v>
      </c>
      <c r="G107" s="8"/>
      <c r="H107" s="10">
        <v>0</v>
      </c>
      <c r="I107" s="10">
        <v>0</v>
      </c>
      <c r="J107" s="13" t="e">
        <f>IF(#REF!&lt;&gt;0,3/#REF!,"N/A")</f>
        <v>#REF!</v>
      </c>
      <c r="L107" t="s">
        <v>638</v>
      </c>
    </row>
    <row r="108" spans="1:12" x14ac:dyDescent="0.45">
      <c r="A108" s="2">
        <f t="shared" si="3"/>
        <v>107</v>
      </c>
      <c r="B108" s="15" t="s">
        <v>93</v>
      </c>
      <c r="C108" s="15" t="s">
        <v>656</v>
      </c>
      <c r="D108" s="15" t="s">
        <v>109</v>
      </c>
      <c r="E108" s="15" t="s">
        <v>577</v>
      </c>
      <c r="F108" s="7" t="s">
        <v>302</v>
      </c>
      <c r="G108" s="9"/>
      <c r="H108" s="11">
        <v>0</v>
      </c>
      <c r="I108" s="11">
        <v>0</v>
      </c>
      <c r="J108" s="24" t="e">
        <f>IF(#REF!&lt;&gt;0,3/#REF!,"N/A")</f>
        <v>#REF!</v>
      </c>
      <c r="K108" s="15"/>
      <c r="L108" s="15" t="s">
        <v>638</v>
      </c>
    </row>
    <row r="109" spans="1:12" x14ac:dyDescent="0.45">
      <c r="A109" s="2">
        <f t="shared" si="3"/>
        <v>108</v>
      </c>
      <c r="B109" t="s">
        <v>93</v>
      </c>
      <c r="C109" t="s">
        <v>656</v>
      </c>
      <c r="D109" t="s">
        <v>110</v>
      </c>
      <c r="E109" t="s">
        <v>429</v>
      </c>
      <c r="F109" s="2" t="s">
        <v>302</v>
      </c>
      <c r="G109" s="8"/>
      <c r="H109" s="10">
        <v>-0.58126820893451703</v>
      </c>
      <c r="I109" s="10">
        <v>-0.109703194367369</v>
      </c>
      <c r="J109" s="13" t="e">
        <f>IF(#REF!&lt;&gt;0,3/#REF!,"N/A")</f>
        <v>#REF!</v>
      </c>
      <c r="L109" t="s">
        <v>638</v>
      </c>
    </row>
    <row r="110" spans="1:12" ht="14.65" thickBot="1" x14ac:dyDescent="0.5">
      <c r="A110" s="2">
        <f t="shared" si="3"/>
        <v>109</v>
      </c>
      <c r="B110" s="5" t="s">
        <v>93</v>
      </c>
      <c r="C110" s="5" t="s">
        <v>664</v>
      </c>
      <c r="D110" s="5" t="s">
        <v>111</v>
      </c>
      <c r="E110" s="5" t="s">
        <v>430</v>
      </c>
      <c r="F110" s="4" t="s">
        <v>302</v>
      </c>
      <c r="G110" s="5"/>
      <c r="H110" s="6">
        <v>-0.36983592449361802</v>
      </c>
      <c r="I110" s="6">
        <v>-1.44284128745837E-2</v>
      </c>
      <c r="J110" s="23" t="e">
        <f>IF(#REF!&lt;&gt;0,3/#REF!,"N/A")</f>
        <v>#REF!</v>
      </c>
      <c r="K110" s="5"/>
      <c r="L110" t="s">
        <v>638</v>
      </c>
    </row>
    <row r="111" spans="1:12" x14ac:dyDescent="0.45">
      <c r="A111" s="2">
        <f t="shared" si="3"/>
        <v>110</v>
      </c>
      <c r="B111" t="s">
        <v>112</v>
      </c>
      <c r="C111" s="21" t="s">
        <v>666</v>
      </c>
      <c r="D111" t="s">
        <v>113</v>
      </c>
      <c r="E111" t="s">
        <v>431</v>
      </c>
      <c r="F111" s="2" t="s">
        <v>302</v>
      </c>
      <c r="G111" s="8"/>
      <c r="H111" s="10">
        <v>0</v>
      </c>
      <c r="I111" s="10">
        <v>5.75</v>
      </c>
      <c r="J111" s="13" t="e">
        <f>IF(#REF!&lt;&gt;0,3/#REF!,"N/A")</f>
        <v>#REF!</v>
      </c>
      <c r="L111" t="s">
        <v>638</v>
      </c>
    </row>
    <row r="112" spans="1:12" x14ac:dyDescent="0.45">
      <c r="A112" s="2">
        <f t="shared" si="3"/>
        <v>111</v>
      </c>
      <c r="B112" t="s">
        <v>112</v>
      </c>
      <c r="C112" s="21" t="s">
        <v>666</v>
      </c>
      <c r="D112" t="s">
        <v>114</v>
      </c>
      <c r="E112" t="s">
        <v>432</v>
      </c>
      <c r="F112" s="2" t="s">
        <v>302</v>
      </c>
      <c r="G112" s="8"/>
      <c r="H112" s="10">
        <v>0.45753085666232601</v>
      </c>
      <c r="I112" s="10">
        <v>0.18277777777777701</v>
      </c>
      <c r="J112" s="13" t="e">
        <f>IF(#REF!&lt;&gt;0,3/#REF!,"N/A")</f>
        <v>#REF!</v>
      </c>
      <c r="L112" t="s">
        <v>638</v>
      </c>
    </row>
    <row r="113" spans="1:12" x14ac:dyDescent="0.45">
      <c r="A113" s="2">
        <f t="shared" si="3"/>
        <v>112</v>
      </c>
      <c r="B113" t="s">
        <v>112</v>
      </c>
      <c r="C113" s="21" t="s">
        <v>666</v>
      </c>
      <c r="D113" t="s">
        <v>115</v>
      </c>
      <c r="E113" t="s">
        <v>433</v>
      </c>
      <c r="F113" s="2" t="s">
        <v>302</v>
      </c>
      <c r="G113" s="8"/>
      <c r="H113" s="11">
        <v>0</v>
      </c>
      <c r="I113" s="11">
        <v>0</v>
      </c>
      <c r="J113" s="13" t="e">
        <f>IF(#REF!&lt;&gt;0,3/#REF!,"N/A")</f>
        <v>#REF!</v>
      </c>
      <c r="L113" t="s">
        <v>638</v>
      </c>
    </row>
    <row r="114" spans="1:12" x14ac:dyDescent="0.45">
      <c r="A114" s="2">
        <f t="shared" si="3"/>
        <v>113</v>
      </c>
      <c r="B114" t="s">
        <v>112</v>
      </c>
      <c r="C114" s="21" t="s">
        <v>666</v>
      </c>
      <c r="D114" t="s">
        <v>116</v>
      </c>
      <c r="E114" t="s">
        <v>578</v>
      </c>
      <c r="F114" s="2" t="s">
        <v>302</v>
      </c>
      <c r="G114" s="8"/>
      <c r="H114" s="10">
        <v>0.5</v>
      </c>
      <c r="I114" s="10">
        <v>0.433</v>
      </c>
      <c r="J114" s="13" t="e">
        <f>IF(#REF!&lt;&gt;0,3/#REF!,"N/A")</f>
        <v>#REF!</v>
      </c>
      <c r="L114" t="s">
        <v>638</v>
      </c>
    </row>
    <row r="115" spans="1:12" ht="14.65" thickBot="1" x14ac:dyDescent="0.5">
      <c r="A115" s="2">
        <f t="shared" si="3"/>
        <v>114</v>
      </c>
      <c r="B115" s="5" t="s">
        <v>112</v>
      </c>
      <c r="C115" s="5" t="s">
        <v>666</v>
      </c>
      <c r="D115" s="5" t="s">
        <v>117</v>
      </c>
      <c r="E115" s="5" t="s">
        <v>434</v>
      </c>
      <c r="F115" s="4" t="s">
        <v>302</v>
      </c>
      <c r="G115" s="5"/>
      <c r="H115" s="6">
        <v>-5.3600823045271999E-3</v>
      </c>
      <c r="I115" s="6">
        <v>1.0289157664609001</v>
      </c>
      <c r="J115" s="23" t="e">
        <f>IF(#REF!&lt;&gt;0,3/#REF!,"N/A")</f>
        <v>#REF!</v>
      </c>
      <c r="K115" s="5"/>
      <c r="L115" s="5" t="s">
        <v>638</v>
      </c>
    </row>
    <row r="116" spans="1:12" x14ac:dyDescent="0.45">
      <c r="A116" s="2">
        <f t="shared" si="3"/>
        <v>115</v>
      </c>
      <c r="B116" t="s">
        <v>118</v>
      </c>
      <c r="C116" t="s">
        <v>653</v>
      </c>
      <c r="D116" t="s">
        <v>119</v>
      </c>
      <c r="E116" t="s">
        <v>435</v>
      </c>
      <c r="F116" s="2" t="s">
        <v>302</v>
      </c>
      <c r="G116" s="8"/>
      <c r="H116" s="10">
        <v>2.77704204776421E-2</v>
      </c>
      <c r="I116" s="10">
        <v>-2.2920575359599699E-2</v>
      </c>
      <c r="J116" s="13" t="e">
        <f>IF(#REF!&lt;&gt;0,3/#REF!,"N/A")</f>
        <v>#REF!</v>
      </c>
      <c r="L116" t="s">
        <v>638</v>
      </c>
    </row>
    <row r="117" spans="1:12" x14ac:dyDescent="0.45">
      <c r="A117" s="2">
        <f t="shared" si="3"/>
        <v>116</v>
      </c>
      <c r="B117" t="s">
        <v>118</v>
      </c>
      <c r="C117" t="s">
        <v>653</v>
      </c>
      <c r="D117" t="s">
        <v>120</v>
      </c>
      <c r="E117" t="s">
        <v>436</v>
      </c>
      <c r="F117" s="2" t="s">
        <v>302</v>
      </c>
      <c r="G117" s="8"/>
      <c r="H117" s="10">
        <v>-7.6937178754299299E-2</v>
      </c>
      <c r="I117" s="10">
        <v>9.1744840525328306E-3</v>
      </c>
      <c r="J117" s="13" t="e">
        <f>IF(#REF!&lt;&gt;0,3/#REF!,"N/A")</f>
        <v>#REF!</v>
      </c>
      <c r="L117" t="s">
        <v>638</v>
      </c>
    </row>
    <row r="118" spans="1:12" x14ac:dyDescent="0.45">
      <c r="A118" s="2">
        <f t="shared" si="3"/>
        <v>117</v>
      </c>
      <c r="B118" s="15" t="s">
        <v>118</v>
      </c>
      <c r="C118" s="15" t="s">
        <v>653</v>
      </c>
      <c r="D118" s="15" t="s">
        <v>121</v>
      </c>
      <c r="E118" s="15" t="s">
        <v>437</v>
      </c>
      <c r="F118" s="7" t="s">
        <v>302</v>
      </c>
      <c r="G118" s="9"/>
      <c r="H118" s="11">
        <v>-4.2501624550500203E-2</v>
      </c>
      <c r="I118" s="11">
        <v>-1.49656035021887E-2</v>
      </c>
      <c r="J118" s="24" t="e">
        <f>IF(#REF!&lt;&gt;0,3/#REF!,"N/A")</f>
        <v>#REF!</v>
      </c>
      <c r="K118" s="15"/>
      <c r="L118" s="15" t="s">
        <v>638</v>
      </c>
    </row>
    <row r="119" spans="1:12" x14ac:dyDescent="0.45">
      <c r="A119" s="2">
        <f t="shared" si="3"/>
        <v>118</v>
      </c>
      <c r="B119" t="s">
        <v>118</v>
      </c>
      <c r="C119" t="s">
        <v>653</v>
      </c>
      <c r="D119" t="s">
        <v>122</v>
      </c>
      <c r="E119" t="s">
        <v>438</v>
      </c>
      <c r="F119" s="2" t="s">
        <v>302</v>
      </c>
      <c r="G119" s="8"/>
      <c r="H119" s="10">
        <v>0.20147063989522099</v>
      </c>
      <c r="I119" s="10">
        <v>-2.16709757128607E-2</v>
      </c>
      <c r="J119" s="13" t="e">
        <f>IF(#REF!&lt;&gt;0,3/#REF!,"N/A")</f>
        <v>#REF!</v>
      </c>
      <c r="L119" t="s">
        <v>638</v>
      </c>
    </row>
    <row r="120" spans="1:12" x14ac:dyDescent="0.45">
      <c r="A120" s="2">
        <f t="shared" si="3"/>
        <v>119</v>
      </c>
      <c r="B120" t="s">
        <v>118</v>
      </c>
      <c r="C120" t="s">
        <v>653</v>
      </c>
      <c r="D120" t="s">
        <v>123</v>
      </c>
      <c r="E120" t="s">
        <v>439</v>
      </c>
      <c r="F120" s="2" t="s">
        <v>302</v>
      </c>
      <c r="H120" s="3"/>
      <c r="I120" s="3"/>
      <c r="J120" s="13" t="e">
        <f>IF(#REF!&lt;&gt;0,3/#REF!,"N/A")</f>
        <v>#REF!</v>
      </c>
      <c r="L120" t="s">
        <v>638</v>
      </c>
    </row>
    <row r="121" spans="1:12" x14ac:dyDescent="0.45">
      <c r="A121" s="2">
        <f t="shared" si="3"/>
        <v>120</v>
      </c>
      <c r="B121" t="s">
        <v>118</v>
      </c>
      <c r="C121" t="s">
        <v>653</v>
      </c>
      <c r="D121" t="s">
        <v>124</v>
      </c>
      <c r="E121" t="s">
        <v>440</v>
      </c>
      <c r="F121" s="2" t="s">
        <v>302</v>
      </c>
      <c r="H121" s="3">
        <v>-4.4918290473526801E-2</v>
      </c>
      <c r="I121" s="3">
        <v>-1.35760257441672E-2</v>
      </c>
      <c r="J121" s="13" t="e">
        <f>IF(#REF!&lt;&gt;0,3/#REF!,"N/A")</f>
        <v>#REF!</v>
      </c>
      <c r="L121" t="s">
        <v>638</v>
      </c>
    </row>
    <row r="122" spans="1:12" x14ac:dyDescent="0.45">
      <c r="A122" s="2">
        <f t="shared" si="3"/>
        <v>121</v>
      </c>
      <c r="B122" t="s">
        <v>118</v>
      </c>
      <c r="C122" t="s">
        <v>653</v>
      </c>
      <c r="D122" t="s">
        <v>125</v>
      </c>
      <c r="E122" t="s">
        <v>441</v>
      </c>
      <c r="F122" s="2" t="s">
        <v>302</v>
      </c>
      <c r="H122" s="3">
        <v>3.61357832376933E-2</v>
      </c>
      <c r="I122" s="3">
        <v>-1.3274336283185599E-2</v>
      </c>
      <c r="J122" s="13" t="e">
        <f>IF(#REF!&lt;&gt;0,3/#REF!,"N/A")</f>
        <v>#REF!</v>
      </c>
      <c r="L122" t="s">
        <v>638</v>
      </c>
    </row>
    <row r="123" spans="1:12" x14ac:dyDescent="0.45">
      <c r="A123" s="2">
        <f t="shared" si="3"/>
        <v>122</v>
      </c>
      <c r="B123" t="s">
        <v>118</v>
      </c>
      <c r="C123" t="s">
        <v>653</v>
      </c>
      <c r="D123" t="s">
        <v>126</v>
      </c>
      <c r="E123" t="s">
        <v>442</v>
      </c>
      <c r="F123" s="2" t="s">
        <v>302</v>
      </c>
      <c r="H123" s="3">
        <v>-6.7149474557521996E-3</v>
      </c>
      <c r="I123" s="3">
        <v>-8.5915030420353602E-2</v>
      </c>
      <c r="J123" s="13" t="e">
        <f>IF(#REF!&lt;&gt;0,3/#REF!,"N/A")</f>
        <v>#REF!</v>
      </c>
      <c r="L123" t="s">
        <v>638</v>
      </c>
    </row>
    <row r="124" spans="1:12" x14ac:dyDescent="0.45">
      <c r="A124" s="2">
        <f t="shared" si="3"/>
        <v>123</v>
      </c>
      <c r="B124" t="s">
        <v>118</v>
      </c>
      <c r="C124" t="s">
        <v>653</v>
      </c>
      <c r="D124" t="s">
        <v>127</v>
      </c>
      <c r="E124" t="s">
        <v>443</v>
      </c>
      <c r="F124" s="2" t="s">
        <v>302</v>
      </c>
      <c r="H124" s="3">
        <v>-5.12909979064902E-2</v>
      </c>
      <c r="I124" s="3">
        <v>-2.6495987438939099E-2</v>
      </c>
      <c r="J124" s="13" t="e">
        <f>IF(#REF!&lt;&gt;0,3/#REF!,"N/A")</f>
        <v>#REF!</v>
      </c>
      <c r="L124" t="s">
        <v>638</v>
      </c>
    </row>
    <row r="125" spans="1:12" x14ac:dyDescent="0.45">
      <c r="A125" s="2">
        <f t="shared" si="3"/>
        <v>124</v>
      </c>
      <c r="B125" t="s">
        <v>118</v>
      </c>
      <c r="C125" t="s">
        <v>653</v>
      </c>
      <c r="D125" t="s">
        <v>128</v>
      </c>
      <c r="E125" t="s">
        <v>444</v>
      </c>
      <c r="F125" s="2" t="s">
        <v>302</v>
      </c>
      <c r="H125" s="3">
        <v>4.98391129336773E-2</v>
      </c>
      <c r="I125" s="3">
        <v>2.6326001682159001E-2</v>
      </c>
      <c r="J125" s="13" t="e">
        <f>IF(#REF!&lt;&gt;0,3/#REF!,"N/A")</f>
        <v>#REF!</v>
      </c>
      <c r="L125" t="s">
        <v>638</v>
      </c>
    </row>
    <row r="126" spans="1:12" x14ac:dyDescent="0.45">
      <c r="A126" s="2">
        <f t="shared" si="3"/>
        <v>125</v>
      </c>
      <c r="B126" t="s">
        <v>118</v>
      </c>
      <c r="C126" t="s">
        <v>653</v>
      </c>
      <c r="D126" t="s">
        <v>129</v>
      </c>
      <c r="E126" t="s">
        <v>445</v>
      </c>
      <c r="F126" s="2" t="s">
        <v>302</v>
      </c>
      <c r="H126" s="3">
        <v>6.46201485773963E-2</v>
      </c>
      <c r="I126" s="3">
        <v>-1.5682349015682401E-2</v>
      </c>
      <c r="J126" s="13" t="e">
        <f>IF(#REF!&lt;&gt;0,3/#REF!,"N/A")</f>
        <v>#REF!</v>
      </c>
      <c r="L126" t="s">
        <v>638</v>
      </c>
    </row>
    <row r="127" spans="1:12" x14ac:dyDescent="0.45">
      <c r="A127" s="2">
        <f t="shared" si="3"/>
        <v>126</v>
      </c>
      <c r="B127" t="s">
        <v>118</v>
      </c>
      <c r="C127" t="s">
        <v>653</v>
      </c>
      <c r="D127" t="s">
        <v>130</v>
      </c>
      <c r="E127" t="s">
        <v>446</v>
      </c>
      <c r="F127" s="2" t="s">
        <v>302</v>
      </c>
      <c r="H127" s="3">
        <v>-4.2389169624309896E-3</v>
      </c>
      <c r="I127" s="3">
        <v>5.82727377654678E-3</v>
      </c>
      <c r="J127" s="13" t="e">
        <f>IF(#REF!&lt;&gt;0,3/#REF!,"N/A")</f>
        <v>#REF!</v>
      </c>
      <c r="L127" t="s">
        <v>638</v>
      </c>
    </row>
    <row r="128" spans="1:12" x14ac:dyDescent="0.45">
      <c r="A128" s="2">
        <f t="shared" si="3"/>
        <v>127</v>
      </c>
      <c r="B128" s="15" t="s">
        <v>118</v>
      </c>
      <c r="C128" s="15" t="s">
        <v>653</v>
      </c>
      <c r="D128" s="15" t="s">
        <v>131</v>
      </c>
      <c r="E128" s="15" t="s">
        <v>447</v>
      </c>
      <c r="F128" s="7" t="s">
        <v>302</v>
      </c>
      <c r="G128" s="15"/>
      <c r="H128" s="20">
        <v>-8.4983897539387301E-2</v>
      </c>
      <c r="I128" s="20">
        <v>-3.07017543859649E-2</v>
      </c>
      <c r="J128" s="24" t="e">
        <f>IF(#REF!&lt;&gt;0,3/#REF!,"N/A")</f>
        <v>#REF!</v>
      </c>
      <c r="K128" s="15"/>
      <c r="L128" t="s">
        <v>638</v>
      </c>
    </row>
    <row r="129" spans="1:12" x14ac:dyDescent="0.45">
      <c r="A129" s="2">
        <f t="shared" si="3"/>
        <v>128</v>
      </c>
      <c r="B129" t="s">
        <v>118</v>
      </c>
      <c r="C129" t="s">
        <v>653</v>
      </c>
      <c r="D129" t="s">
        <v>132</v>
      </c>
      <c r="E129" t="s">
        <v>448</v>
      </c>
      <c r="F129" s="2" t="s">
        <v>302</v>
      </c>
      <c r="H129" s="3">
        <v>0.14852056347974399</v>
      </c>
      <c r="I129" s="3">
        <v>-1.7447068403908701E-2</v>
      </c>
      <c r="J129" s="13" t="e">
        <f>IF(#REF!&lt;&gt;0,3/#REF!,"N/A")</f>
        <v>#REF!</v>
      </c>
      <c r="L129" t="s">
        <v>638</v>
      </c>
    </row>
    <row r="130" spans="1:12" x14ac:dyDescent="0.45">
      <c r="A130" s="2">
        <f t="shared" si="3"/>
        <v>129</v>
      </c>
      <c r="B130" t="s">
        <v>118</v>
      </c>
      <c r="C130" t="s">
        <v>653</v>
      </c>
      <c r="D130" t="s">
        <v>133</v>
      </c>
      <c r="E130" t="s">
        <v>449</v>
      </c>
      <c r="F130" s="2" t="s">
        <v>302</v>
      </c>
      <c r="H130" s="3">
        <v>0.29408253365308401</v>
      </c>
      <c r="I130" s="3">
        <v>-4.9674266324370797E-3</v>
      </c>
      <c r="J130" s="13" t="e">
        <f>IF(#REF!&lt;&gt;0,3/#REF!,"N/A")</f>
        <v>#REF!</v>
      </c>
      <c r="L130" t="s">
        <v>638</v>
      </c>
    </row>
    <row r="131" spans="1:12" x14ac:dyDescent="0.45">
      <c r="A131" s="2">
        <f t="shared" si="3"/>
        <v>130</v>
      </c>
      <c r="B131" s="15" t="s">
        <v>118</v>
      </c>
      <c r="C131" s="15" t="s">
        <v>653</v>
      </c>
      <c r="D131" s="15" t="s">
        <v>134</v>
      </c>
      <c r="E131" s="15" t="s">
        <v>450</v>
      </c>
      <c r="F131" s="7" t="s">
        <v>302</v>
      </c>
      <c r="G131" s="15"/>
      <c r="H131" s="20">
        <v>5.22564420482622E-2</v>
      </c>
      <c r="I131" s="20">
        <v>-6.7080620445724298E-3</v>
      </c>
      <c r="J131" s="24" t="e">
        <f>IF(#REF!&lt;&gt;0,3/#REF!,"N/A")</f>
        <v>#REF!</v>
      </c>
      <c r="K131" s="15"/>
      <c r="L131" s="15" t="s">
        <v>638</v>
      </c>
    </row>
    <row r="132" spans="1:12" x14ac:dyDescent="0.45">
      <c r="A132" s="2">
        <f t="shared" si="3"/>
        <v>131</v>
      </c>
      <c r="B132" t="s">
        <v>118</v>
      </c>
      <c r="C132" t="s">
        <v>653</v>
      </c>
      <c r="D132" t="s">
        <v>135</v>
      </c>
      <c r="E132" t="s">
        <v>451</v>
      </c>
      <c r="F132" s="2" t="s">
        <v>302</v>
      </c>
      <c r="H132" s="3">
        <v>0.248208419352479</v>
      </c>
      <c r="I132" s="3">
        <v>-4.7536644951140003E-2</v>
      </c>
      <c r="J132" s="13" t="e">
        <f>IF(#REF!&lt;&gt;0,3/#REF!,"N/A")</f>
        <v>#REF!</v>
      </c>
      <c r="L132" t="s">
        <v>638</v>
      </c>
    </row>
    <row r="133" spans="1:12" x14ac:dyDescent="0.45">
      <c r="A133" s="2">
        <f t="shared" si="3"/>
        <v>132</v>
      </c>
      <c r="B133" t="s">
        <v>118</v>
      </c>
      <c r="C133" t="s">
        <v>653</v>
      </c>
      <c r="D133" t="s">
        <v>136</v>
      </c>
      <c r="E133" t="s">
        <v>452</v>
      </c>
      <c r="F133" s="2" t="s">
        <v>302</v>
      </c>
      <c r="H133" s="3">
        <v>2.7429579631773698E-2</v>
      </c>
      <c r="I133" s="3">
        <v>2.3141735918743899E-3</v>
      </c>
      <c r="J133" s="13" t="e">
        <f>IF(#REF!&lt;&gt;0,3/#REF!,"N/A")</f>
        <v>#REF!</v>
      </c>
      <c r="L133" t="s">
        <v>638</v>
      </c>
    </row>
    <row r="134" spans="1:12" x14ac:dyDescent="0.45">
      <c r="A134" s="2">
        <f t="shared" si="3"/>
        <v>133</v>
      </c>
      <c r="B134" t="s">
        <v>118</v>
      </c>
      <c r="C134" t="s">
        <v>653</v>
      </c>
      <c r="D134" t="s">
        <v>137</v>
      </c>
      <c r="E134" t="s">
        <v>453</v>
      </c>
      <c r="F134" s="2" t="s">
        <v>302</v>
      </c>
      <c r="H134" s="3">
        <v>-0.21792330332409901</v>
      </c>
      <c r="I134" s="3">
        <v>9.8943905817174497E-3</v>
      </c>
      <c r="J134" s="13" t="e">
        <f>IF(#REF!&lt;&gt;0,3/#REF!,"N/A")</f>
        <v>#REF!</v>
      </c>
      <c r="L134" t="s">
        <v>638</v>
      </c>
    </row>
    <row r="135" spans="1:12" x14ac:dyDescent="0.45">
      <c r="A135" s="2">
        <f t="shared" si="3"/>
        <v>134</v>
      </c>
      <c r="B135" t="s">
        <v>118</v>
      </c>
      <c r="C135" t="s">
        <v>653</v>
      </c>
      <c r="D135" t="s">
        <v>139</v>
      </c>
      <c r="E135" t="s">
        <v>455</v>
      </c>
      <c r="F135" s="2" t="s">
        <v>302</v>
      </c>
      <c r="H135" s="3">
        <v>0.106066758676667</v>
      </c>
      <c r="I135" s="3">
        <v>-3.1555374592834001E-2</v>
      </c>
      <c r="J135" s="13" t="e">
        <f>IF(#REF!&lt;&gt;0,3/#REF!,"N/A")</f>
        <v>#REF!</v>
      </c>
      <c r="L135" t="s">
        <v>638</v>
      </c>
    </row>
    <row r="136" spans="1:12" x14ac:dyDescent="0.45">
      <c r="A136" s="2">
        <f t="shared" si="3"/>
        <v>135</v>
      </c>
      <c r="B136" t="s">
        <v>118</v>
      </c>
      <c r="C136" t="s">
        <v>653</v>
      </c>
      <c r="D136" t="s">
        <v>138</v>
      </c>
      <c r="E136" t="s">
        <v>454</v>
      </c>
      <c r="F136" s="2" t="s">
        <v>302</v>
      </c>
      <c r="H136" s="3">
        <v>-3.8261743001330402E-2</v>
      </c>
      <c r="I136" s="3">
        <v>-1.7082178955923399E-2</v>
      </c>
      <c r="J136" s="13" t="e">
        <f>IF(#REF!&lt;&gt;0,3/#REF!,"N/A")</f>
        <v>#REF!</v>
      </c>
      <c r="L136" t="s">
        <v>638</v>
      </c>
    </row>
    <row r="137" spans="1:12" x14ac:dyDescent="0.45">
      <c r="A137" s="2">
        <f t="shared" si="3"/>
        <v>136</v>
      </c>
      <c r="B137" t="s">
        <v>118</v>
      </c>
      <c r="C137" t="s">
        <v>653</v>
      </c>
      <c r="D137" t="s">
        <v>140</v>
      </c>
      <c r="E137" t="s">
        <v>456</v>
      </c>
      <c r="F137" s="2" t="s">
        <v>302</v>
      </c>
      <c r="H137" s="3">
        <v>1.6849853853769699E-2</v>
      </c>
      <c r="I137" s="3">
        <v>4.1378116343490801E-3</v>
      </c>
      <c r="J137" s="13" t="e">
        <f>IF(#REF!&lt;&gt;0,3/#REF!,"N/A")</f>
        <v>#REF!</v>
      </c>
      <c r="L137" t="s">
        <v>638</v>
      </c>
    </row>
    <row r="138" spans="1:12" ht="14.65" thickBot="1" x14ac:dyDescent="0.5">
      <c r="A138" s="2">
        <f t="shared" si="3"/>
        <v>137</v>
      </c>
      <c r="B138" s="5" t="s">
        <v>118</v>
      </c>
      <c r="C138" s="5" t="s">
        <v>653</v>
      </c>
      <c r="D138" s="5" t="s">
        <v>141</v>
      </c>
      <c r="E138" s="5" t="s">
        <v>457</v>
      </c>
      <c r="F138" s="4" t="s">
        <v>302</v>
      </c>
      <c r="G138" s="5"/>
      <c r="H138" s="6">
        <v>-0.111726678969786</v>
      </c>
      <c r="I138" s="6">
        <v>-1.0820635468014E-3</v>
      </c>
      <c r="J138" s="23" t="e">
        <f>IF(#REF!&lt;&gt;0,3/#REF!,"N/A")</f>
        <v>#REF!</v>
      </c>
      <c r="K138" s="5"/>
      <c r="L138" s="5" t="s">
        <v>638</v>
      </c>
    </row>
    <row r="139" spans="1:12" x14ac:dyDescent="0.45">
      <c r="A139" s="2">
        <f t="shared" si="3"/>
        <v>138</v>
      </c>
      <c r="B139" t="s">
        <v>142</v>
      </c>
      <c r="C139" t="s">
        <v>681</v>
      </c>
      <c r="D139" t="s">
        <v>157</v>
      </c>
      <c r="E139" t="s">
        <v>580</v>
      </c>
      <c r="F139" s="2" t="s">
        <v>302</v>
      </c>
      <c r="G139" t="s">
        <v>336</v>
      </c>
      <c r="H139" s="3">
        <v>0</v>
      </c>
      <c r="I139" s="3">
        <v>0</v>
      </c>
      <c r="J139" s="13" t="e">
        <f>IF(#REF!&lt;&gt;0,3/#REF!,"N/A")</f>
        <v>#REF!</v>
      </c>
      <c r="L139" t="s">
        <v>638</v>
      </c>
    </row>
    <row r="140" spans="1:12" x14ac:dyDescent="0.45">
      <c r="A140" s="2">
        <f t="shared" si="3"/>
        <v>139</v>
      </c>
      <c r="B140" t="s">
        <v>142</v>
      </c>
      <c r="C140" t="s">
        <v>681</v>
      </c>
      <c r="D140" t="s">
        <v>158</v>
      </c>
      <c r="E140" t="s">
        <v>581</v>
      </c>
      <c r="F140" s="2" t="s">
        <v>302</v>
      </c>
      <c r="G140" t="s">
        <v>328</v>
      </c>
      <c r="H140" s="3">
        <v>0</v>
      </c>
      <c r="I140" s="3">
        <v>0</v>
      </c>
      <c r="J140" s="13" t="e">
        <f>IF(#REF!&lt;&gt;0,3/#REF!,"N/A")</f>
        <v>#REF!</v>
      </c>
      <c r="L140" t="s">
        <v>638</v>
      </c>
    </row>
    <row r="141" spans="1:12" x14ac:dyDescent="0.45">
      <c r="A141" s="2">
        <f t="shared" si="3"/>
        <v>140</v>
      </c>
      <c r="B141" t="s">
        <v>142</v>
      </c>
      <c r="C141" t="s">
        <v>662</v>
      </c>
      <c r="D141" t="s">
        <v>143</v>
      </c>
      <c r="E141" t="s">
        <v>458</v>
      </c>
      <c r="F141" s="2" t="s">
        <v>302</v>
      </c>
      <c r="H141" s="3"/>
      <c r="I141" s="3"/>
      <c r="J141" s="13" t="e">
        <f>IF(#REF!&lt;&gt;0,3/#REF!,"N/A")</f>
        <v>#REF!</v>
      </c>
      <c r="L141" t="s">
        <v>638</v>
      </c>
    </row>
    <row r="142" spans="1:12" x14ac:dyDescent="0.45">
      <c r="A142" s="2">
        <f t="shared" si="3"/>
        <v>141</v>
      </c>
      <c r="B142" t="s">
        <v>142</v>
      </c>
      <c r="C142" t="s">
        <v>662</v>
      </c>
      <c r="D142" t="s">
        <v>144</v>
      </c>
      <c r="E142" t="s">
        <v>459</v>
      </c>
      <c r="F142" s="2" t="s">
        <v>302</v>
      </c>
      <c r="H142" s="3">
        <v>0</v>
      </c>
      <c r="I142" s="3">
        <v>0</v>
      </c>
      <c r="J142" s="13" t="e">
        <f>IF(#REF!&lt;&gt;0,3/#REF!,"N/A")</f>
        <v>#REF!</v>
      </c>
      <c r="L142" t="s">
        <v>638</v>
      </c>
    </row>
    <row r="143" spans="1:12" x14ac:dyDescent="0.45">
      <c r="A143" s="2">
        <f t="shared" si="3"/>
        <v>142</v>
      </c>
      <c r="B143" t="s">
        <v>142</v>
      </c>
      <c r="C143" t="s">
        <v>662</v>
      </c>
      <c r="D143" t="s">
        <v>145</v>
      </c>
      <c r="E143" t="s">
        <v>460</v>
      </c>
      <c r="F143" s="2" t="s">
        <v>302</v>
      </c>
      <c r="H143" s="3">
        <v>3.1250000000000002E-3</v>
      </c>
      <c r="I143" s="3">
        <v>0.15937499999999899</v>
      </c>
      <c r="J143" s="13" t="e">
        <f>IF(#REF!&lt;&gt;0,3/#REF!,"N/A")</f>
        <v>#REF!</v>
      </c>
      <c r="L143" t="s">
        <v>638</v>
      </c>
    </row>
    <row r="144" spans="1:12" x14ac:dyDescent="0.45">
      <c r="A144" s="2">
        <f t="shared" si="3"/>
        <v>143</v>
      </c>
      <c r="B144" t="s">
        <v>142</v>
      </c>
      <c r="C144" t="s">
        <v>659</v>
      </c>
      <c r="D144" t="s">
        <v>146</v>
      </c>
      <c r="E144" t="s">
        <v>461</v>
      </c>
      <c r="F144" s="2" t="s">
        <v>302</v>
      </c>
      <c r="H144" s="3"/>
      <c r="I144" s="3"/>
      <c r="J144" s="13" t="e">
        <f>IF(#REF!&lt;&gt;0,3/#REF!,"N/A")</f>
        <v>#REF!</v>
      </c>
      <c r="L144" t="s">
        <v>638</v>
      </c>
    </row>
    <row r="145" spans="1:12" x14ac:dyDescent="0.45">
      <c r="A145" s="2">
        <f t="shared" si="3"/>
        <v>144</v>
      </c>
      <c r="B145" t="s">
        <v>142</v>
      </c>
      <c r="C145" t="s">
        <v>659</v>
      </c>
      <c r="D145" t="s">
        <v>147</v>
      </c>
      <c r="E145" t="s">
        <v>462</v>
      </c>
      <c r="F145" s="2" t="s">
        <v>302</v>
      </c>
      <c r="H145" s="3">
        <v>0</v>
      </c>
      <c r="I145" s="3">
        <v>0</v>
      </c>
      <c r="J145" s="13" t="e">
        <f>IF(#REF!&lt;&gt;0,3/#REF!,"N/A")</f>
        <v>#REF!</v>
      </c>
      <c r="L145" t="s">
        <v>638</v>
      </c>
    </row>
    <row r="146" spans="1:12" x14ac:dyDescent="0.45">
      <c r="A146" s="2">
        <f t="shared" si="3"/>
        <v>145</v>
      </c>
      <c r="B146" t="s">
        <v>142</v>
      </c>
      <c r="C146" t="s">
        <v>649</v>
      </c>
      <c r="D146" t="s">
        <v>148</v>
      </c>
      <c r="E146" t="s">
        <v>463</v>
      </c>
      <c r="F146" s="2" t="s">
        <v>302</v>
      </c>
      <c r="H146" s="3">
        <v>0</v>
      </c>
      <c r="I146" s="3">
        <v>0</v>
      </c>
      <c r="J146" s="13" t="e">
        <f>IF(#REF!&lt;&gt;0,3/#REF!,"N/A")</f>
        <v>#REF!</v>
      </c>
      <c r="L146" t="s">
        <v>638</v>
      </c>
    </row>
    <row r="147" spans="1:12" ht="17.649999999999999" customHeight="1" x14ac:dyDescent="0.45">
      <c r="A147" s="2">
        <f t="shared" si="3"/>
        <v>146</v>
      </c>
      <c r="B147" t="s">
        <v>142</v>
      </c>
      <c r="C147" t="s">
        <v>659</v>
      </c>
      <c r="D147" t="s">
        <v>149</v>
      </c>
      <c r="E147" t="s">
        <v>464</v>
      </c>
      <c r="F147" s="2" t="s">
        <v>302</v>
      </c>
      <c r="H147" s="3"/>
      <c r="I147" s="3"/>
      <c r="J147" s="13" t="e">
        <f>IF(#REF!&lt;&gt;0,3/#REF!,"N/A")</f>
        <v>#REF!</v>
      </c>
      <c r="L147" t="s">
        <v>638</v>
      </c>
    </row>
    <row r="148" spans="1:12" ht="16.149999999999999" customHeight="1" x14ac:dyDescent="0.45">
      <c r="A148" s="2">
        <f t="shared" si="3"/>
        <v>147</v>
      </c>
      <c r="B148" t="s">
        <v>142</v>
      </c>
      <c r="C148" t="s">
        <v>662</v>
      </c>
      <c r="D148" t="s">
        <v>150</v>
      </c>
      <c r="E148" t="s">
        <v>663</v>
      </c>
      <c r="F148" s="2" t="s">
        <v>302</v>
      </c>
      <c r="H148" s="3">
        <v>0.215215215215218</v>
      </c>
      <c r="I148" s="3">
        <v>3.5035035035033198E-2</v>
      </c>
      <c r="J148" s="13" t="e">
        <f>IF(#REF!&lt;&gt;0,3/#REF!,"N/A")</f>
        <v>#REF!</v>
      </c>
      <c r="L148" t="s">
        <v>638</v>
      </c>
    </row>
    <row r="149" spans="1:12" x14ac:dyDescent="0.45">
      <c r="A149" s="2">
        <f t="shared" si="3"/>
        <v>148</v>
      </c>
      <c r="B149" t="s">
        <v>142</v>
      </c>
      <c r="C149" t="s">
        <v>662</v>
      </c>
      <c r="D149" t="s">
        <v>151</v>
      </c>
      <c r="E149" t="s">
        <v>465</v>
      </c>
      <c r="F149" s="2" t="s">
        <v>302</v>
      </c>
      <c r="G149" t="s">
        <v>334</v>
      </c>
      <c r="H149" s="3">
        <v>0.5</v>
      </c>
      <c r="I149" s="3">
        <v>0</v>
      </c>
      <c r="J149" s="13" t="e">
        <f>IF(#REF!&lt;&gt;0,3/#REF!,"N/A")</f>
        <v>#REF!</v>
      </c>
      <c r="L149" t="s">
        <v>638</v>
      </c>
    </row>
    <row r="150" spans="1:12" x14ac:dyDescent="0.45">
      <c r="A150" s="2">
        <f t="shared" si="3"/>
        <v>149</v>
      </c>
      <c r="B150" t="s">
        <v>142</v>
      </c>
      <c r="C150" t="s">
        <v>662</v>
      </c>
      <c r="D150" t="s">
        <v>153</v>
      </c>
      <c r="E150" t="s">
        <v>466</v>
      </c>
      <c r="F150" s="2" t="s">
        <v>302</v>
      </c>
      <c r="H150" s="3">
        <v>-0.54414062500000004</v>
      </c>
      <c r="I150" s="3">
        <v>-2.22656249999999E-2</v>
      </c>
      <c r="J150" s="13" t="e">
        <f>IF(#REF!&lt;&gt;0,3/#REF!,"N/A")</f>
        <v>#REF!</v>
      </c>
      <c r="L150" t="s">
        <v>638</v>
      </c>
    </row>
    <row r="151" spans="1:12" ht="17.25" customHeight="1" x14ac:dyDescent="0.45">
      <c r="A151" s="2">
        <f t="shared" si="3"/>
        <v>150</v>
      </c>
      <c r="B151" t="s">
        <v>142</v>
      </c>
      <c r="C151" t="s">
        <v>662</v>
      </c>
      <c r="D151" t="s">
        <v>156</v>
      </c>
      <c r="E151" t="s">
        <v>469</v>
      </c>
      <c r="F151" s="2" t="s">
        <v>302</v>
      </c>
      <c r="H151" s="3">
        <v>0.110111467804609</v>
      </c>
      <c r="I151" s="3">
        <v>3.6509165415414803E-2</v>
      </c>
      <c r="J151" s="25" t="e">
        <f>IF(#REF!&lt;&gt;0,3/#REF!,"N/A")</f>
        <v>#REF!</v>
      </c>
      <c r="L151" t="s">
        <v>638</v>
      </c>
    </row>
    <row r="152" spans="1:12" x14ac:dyDescent="0.45">
      <c r="A152" s="2">
        <f t="shared" si="3"/>
        <v>151</v>
      </c>
      <c r="B152" t="s">
        <v>142</v>
      </c>
      <c r="C152" t="s">
        <v>649</v>
      </c>
      <c r="D152" t="s">
        <v>159</v>
      </c>
      <c r="E152" t="s">
        <v>470</v>
      </c>
      <c r="F152" s="2" t="s">
        <v>302</v>
      </c>
      <c r="H152" s="3">
        <v>0</v>
      </c>
      <c r="I152" s="3">
        <v>0</v>
      </c>
      <c r="J152" s="13" t="e">
        <f>IF(#REF!&lt;&gt;0,3/#REF!,"N/A")</f>
        <v>#REF!</v>
      </c>
      <c r="L152" t="s">
        <v>638</v>
      </c>
    </row>
    <row r="153" spans="1:12" ht="22.15" customHeight="1" x14ac:dyDescent="0.45">
      <c r="A153" s="2">
        <f t="shared" si="3"/>
        <v>152</v>
      </c>
      <c r="B153" t="s">
        <v>142</v>
      </c>
      <c r="C153" t="s">
        <v>659</v>
      </c>
      <c r="D153" t="s">
        <v>160</v>
      </c>
      <c r="E153" t="s">
        <v>471</v>
      </c>
      <c r="F153" s="2" t="s">
        <v>302</v>
      </c>
      <c r="H153" s="3">
        <v>0</v>
      </c>
      <c r="I153" s="3">
        <v>0</v>
      </c>
      <c r="J153" s="13" t="e">
        <f>IF(#REF!&lt;&gt;0,3/#REF!,"N/A")</f>
        <v>#REF!</v>
      </c>
      <c r="L153" t="s">
        <v>638</v>
      </c>
    </row>
    <row r="154" spans="1:12" ht="15" customHeight="1" x14ac:dyDescent="0.45">
      <c r="A154" s="2">
        <f t="shared" si="3"/>
        <v>153</v>
      </c>
      <c r="B154" t="s">
        <v>142</v>
      </c>
      <c r="C154" t="s">
        <v>649</v>
      </c>
      <c r="D154" t="s">
        <v>161</v>
      </c>
      <c r="E154" t="s">
        <v>472</v>
      </c>
      <c r="F154" s="2" t="s">
        <v>302</v>
      </c>
      <c r="G154" t="s">
        <v>329</v>
      </c>
      <c r="H154" s="3">
        <v>0</v>
      </c>
      <c r="I154" s="3">
        <v>0</v>
      </c>
      <c r="J154" s="13" t="e">
        <f>IF(#REF!&lt;&gt;0,3/#REF!,"N/A")</f>
        <v>#REF!</v>
      </c>
      <c r="L154" t="s">
        <v>638</v>
      </c>
    </row>
    <row r="155" spans="1:12" x14ac:dyDescent="0.45">
      <c r="A155" s="2">
        <f t="shared" si="3"/>
        <v>154</v>
      </c>
      <c r="B155" t="s">
        <v>142</v>
      </c>
      <c r="C155" t="s">
        <v>662</v>
      </c>
      <c r="D155" t="s">
        <v>162</v>
      </c>
      <c r="E155" t="s">
        <v>473</v>
      </c>
      <c r="F155" s="2" t="s">
        <v>302</v>
      </c>
      <c r="G155" t="s">
        <v>330</v>
      </c>
      <c r="H155" s="3">
        <v>0</v>
      </c>
      <c r="I155" s="3">
        <v>0</v>
      </c>
      <c r="J155" s="13" t="e">
        <f>IF(#REF!&lt;&gt;0,3/#REF!,"N/A")</f>
        <v>#REF!</v>
      </c>
      <c r="L155" t="s">
        <v>638</v>
      </c>
    </row>
    <row r="156" spans="1:12" x14ac:dyDescent="0.45">
      <c r="A156" s="2">
        <f t="shared" si="3"/>
        <v>155</v>
      </c>
      <c r="B156" s="15" t="s">
        <v>142</v>
      </c>
      <c r="C156" t="s">
        <v>659</v>
      </c>
      <c r="D156" s="15" t="s">
        <v>163</v>
      </c>
      <c r="E156" s="15" t="s">
        <v>474</v>
      </c>
      <c r="F156" s="7" t="s">
        <v>302</v>
      </c>
      <c r="G156" s="15"/>
      <c r="H156" s="20">
        <v>0</v>
      </c>
      <c r="I156" s="20">
        <v>0</v>
      </c>
      <c r="J156" s="24" t="e">
        <f>IF(#REF!&lt;&gt;0,3/#REF!,"N/A")</f>
        <v>#REF!</v>
      </c>
      <c r="K156" s="15"/>
      <c r="L156" t="s">
        <v>638</v>
      </c>
    </row>
    <row r="157" spans="1:12" x14ac:dyDescent="0.45">
      <c r="A157" s="2">
        <f t="shared" si="3"/>
        <v>156</v>
      </c>
      <c r="B157" t="s">
        <v>142</v>
      </c>
      <c r="C157" t="s">
        <v>659</v>
      </c>
      <c r="D157" t="s">
        <v>152</v>
      </c>
      <c r="E157" t="s">
        <v>579</v>
      </c>
      <c r="F157" s="2" t="s">
        <v>302</v>
      </c>
      <c r="G157" t="s">
        <v>327</v>
      </c>
      <c r="H157" s="3">
        <v>0.445312499999999</v>
      </c>
      <c r="I157" s="3">
        <v>-3.7499999999999901E-2</v>
      </c>
      <c r="J157" s="13" t="e">
        <f>IF(#REF!&lt;&gt;0,3/#REF!,"N/A")</f>
        <v>#REF!</v>
      </c>
      <c r="L157" t="s">
        <v>638</v>
      </c>
    </row>
    <row r="158" spans="1:12" x14ac:dyDescent="0.45">
      <c r="A158" s="2">
        <f t="shared" si="3"/>
        <v>157</v>
      </c>
      <c r="B158" t="s">
        <v>142</v>
      </c>
      <c r="C158" t="s">
        <v>659</v>
      </c>
      <c r="D158" t="s">
        <v>154</v>
      </c>
      <c r="E158" t="s">
        <v>660</v>
      </c>
      <c r="F158" s="2" t="s">
        <v>302</v>
      </c>
      <c r="H158" s="3">
        <v>0</v>
      </c>
      <c r="I158" s="3">
        <v>0</v>
      </c>
      <c r="J158" s="13" t="e">
        <f>IF(#REF!&lt;&gt;0,3/#REF!,"N/A")</f>
        <v>#REF!</v>
      </c>
      <c r="L158" t="s">
        <v>638</v>
      </c>
    </row>
    <row r="159" spans="1:12" ht="14.65" thickBot="1" x14ac:dyDescent="0.5">
      <c r="A159" s="2">
        <f t="shared" si="3"/>
        <v>158</v>
      </c>
      <c r="B159" s="5" t="s">
        <v>142</v>
      </c>
      <c r="C159" t="s">
        <v>659</v>
      </c>
      <c r="D159" s="5" t="s">
        <v>155</v>
      </c>
      <c r="E159" s="5" t="s">
        <v>661</v>
      </c>
      <c r="F159" s="4" t="s">
        <v>302</v>
      </c>
      <c r="G159" s="5" t="s">
        <v>335</v>
      </c>
      <c r="H159" s="6">
        <v>0</v>
      </c>
      <c r="I159" s="6">
        <v>0</v>
      </c>
      <c r="J159" s="23" t="e">
        <f>IF(#REF!&lt;&gt;0,3/#REF!,"N/A")</f>
        <v>#REF!</v>
      </c>
      <c r="K159" s="5"/>
      <c r="L159" t="s">
        <v>638</v>
      </c>
    </row>
    <row r="160" spans="1:12" x14ac:dyDescent="0.45">
      <c r="A160" s="2">
        <f t="shared" si="3"/>
        <v>159</v>
      </c>
      <c r="B160" t="s">
        <v>164</v>
      </c>
      <c r="C160" t="s">
        <v>667</v>
      </c>
      <c r="D160" t="s">
        <v>165</v>
      </c>
      <c r="E160" t="s">
        <v>475</v>
      </c>
      <c r="F160" s="2" t="s">
        <v>302</v>
      </c>
      <c r="G160" t="s">
        <v>337</v>
      </c>
      <c r="H160" s="3">
        <v>0.99843749999999898</v>
      </c>
      <c r="I160" s="3">
        <v>-1.40625E-2</v>
      </c>
      <c r="J160" s="13" t="e">
        <f>IF(#REF!&lt;&gt;0,3/#REF!,"N/A")</f>
        <v>#REF!</v>
      </c>
      <c r="L160" t="s">
        <v>638</v>
      </c>
    </row>
    <row r="161" spans="1:12" x14ac:dyDescent="0.45">
      <c r="A161" s="2">
        <f t="shared" si="3"/>
        <v>160</v>
      </c>
      <c r="B161" t="s">
        <v>164</v>
      </c>
      <c r="C161" t="s">
        <v>667</v>
      </c>
      <c r="D161" t="s">
        <v>166</v>
      </c>
      <c r="E161" t="s">
        <v>476</v>
      </c>
      <c r="F161" s="2" t="s">
        <v>302</v>
      </c>
      <c r="H161" s="3">
        <v>-3.9525691699608904E-3</v>
      </c>
      <c r="I161" s="3">
        <v>6.9169960474309402E-3</v>
      </c>
      <c r="J161" s="13" t="e">
        <f>IF(#REF!&lt;&gt;0,3/#REF!,"N/A")</f>
        <v>#REF!</v>
      </c>
      <c r="L161" t="s">
        <v>638</v>
      </c>
    </row>
    <row r="162" spans="1:12" x14ac:dyDescent="0.45">
      <c r="A162" s="2">
        <f t="shared" si="3"/>
        <v>161</v>
      </c>
      <c r="B162" t="s">
        <v>164</v>
      </c>
      <c r="C162" t="s">
        <v>667</v>
      </c>
      <c r="D162" t="s">
        <v>167</v>
      </c>
      <c r="E162" t="s">
        <v>477</v>
      </c>
      <c r="F162" s="2" t="s">
        <v>302</v>
      </c>
      <c r="G162" s="14"/>
      <c r="H162" s="3">
        <v>0.80330705765450305</v>
      </c>
      <c r="I162" s="3">
        <v>7.0312499999999898E-3</v>
      </c>
      <c r="J162" s="13" t="e">
        <f>IF(#REF!&lt;&gt;0,3/#REF!,"N/A")</f>
        <v>#REF!</v>
      </c>
      <c r="L162" t="s">
        <v>638</v>
      </c>
    </row>
    <row r="163" spans="1:12" x14ac:dyDescent="0.45">
      <c r="A163" s="2">
        <f t="shared" si="3"/>
        <v>162</v>
      </c>
      <c r="B163" t="s">
        <v>164</v>
      </c>
      <c r="C163" t="s">
        <v>667</v>
      </c>
      <c r="D163" t="s">
        <v>168</v>
      </c>
      <c r="E163" t="s">
        <v>478</v>
      </c>
      <c r="F163" s="2" t="s">
        <v>302</v>
      </c>
      <c r="H163" s="3">
        <v>0.5</v>
      </c>
      <c r="I163" s="3">
        <v>0</v>
      </c>
      <c r="J163" s="13" t="e">
        <f>IF(#REF!&lt;&gt;0,3/#REF!,"N/A")</f>
        <v>#REF!</v>
      </c>
      <c r="L163" t="s">
        <v>638</v>
      </c>
    </row>
    <row r="164" spans="1:12" x14ac:dyDescent="0.45">
      <c r="A164" s="2">
        <f t="shared" si="3"/>
        <v>163</v>
      </c>
      <c r="B164" t="s">
        <v>164</v>
      </c>
      <c r="C164" t="s">
        <v>667</v>
      </c>
      <c r="D164" t="s">
        <v>169</v>
      </c>
      <c r="E164" t="s">
        <v>479</v>
      </c>
      <c r="F164" s="2" t="s">
        <v>302</v>
      </c>
      <c r="H164" s="3">
        <v>0.5</v>
      </c>
      <c r="I164" s="3">
        <v>0</v>
      </c>
      <c r="J164" s="13" t="e">
        <f>IF(#REF!&lt;&gt;0,3/#REF!,"N/A")</f>
        <v>#REF!</v>
      </c>
      <c r="L164" t="s">
        <v>638</v>
      </c>
    </row>
    <row r="165" spans="1:12" x14ac:dyDescent="0.45">
      <c r="A165" s="2">
        <f t="shared" si="3"/>
        <v>164</v>
      </c>
      <c r="B165" t="s">
        <v>164</v>
      </c>
      <c r="C165" t="s">
        <v>667</v>
      </c>
      <c r="D165" t="s">
        <v>170</v>
      </c>
      <c r="E165" t="s">
        <v>480</v>
      </c>
      <c r="F165" s="2" t="s">
        <v>302</v>
      </c>
      <c r="H165" s="3">
        <v>-6.9169960474308206E-2</v>
      </c>
      <c r="I165" s="3">
        <v>8.8932806324111005E-2</v>
      </c>
      <c r="J165" s="13" t="e">
        <f>IF(#REF!&lt;&gt;0,3/#REF!,"N/A")</f>
        <v>#REF!</v>
      </c>
      <c r="L165" t="s">
        <v>638</v>
      </c>
    </row>
    <row r="166" spans="1:12" x14ac:dyDescent="0.45">
      <c r="A166" s="2">
        <f t="shared" si="3"/>
        <v>165</v>
      </c>
      <c r="B166" s="15" t="s">
        <v>164</v>
      </c>
      <c r="C166" s="15" t="s">
        <v>667</v>
      </c>
      <c r="D166" s="15" t="s">
        <v>171</v>
      </c>
      <c r="E166" s="15" t="s">
        <v>481</v>
      </c>
      <c r="F166" s="7" t="s">
        <v>302</v>
      </c>
      <c r="G166" s="15"/>
      <c r="H166" s="20">
        <v>-5.1937595141288803E-2</v>
      </c>
      <c r="I166" s="20">
        <v>4.36566380910271E-2</v>
      </c>
      <c r="J166" s="24" t="e">
        <f>IF(#REF!&lt;&gt;0,3/#REF!,"N/A")</f>
        <v>#REF!</v>
      </c>
      <c r="K166" s="15"/>
      <c r="L166" s="15" t="s">
        <v>638</v>
      </c>
    </row>
    <row r="167" spans="1:12" x14ac:dyDescent="0.45">
      <c r="A167" s="2">
        <f t="shared" si="3"/>
        <v>166</v>
      </c>
      <c r="B167" s="15" t="s">
        <v>164</v>
      </c>
      <c r="C167" s="15" t="s">
        <v>667</v>
      </c>
      <c r="D167" s="15" t="s">
        <v>172</v>
      </c>
      <c r="E167" s="15" t="s">
        <v>482</v>
      </c>
      <c r="F167" s="7" t="s">
        <v>302</v>
      </c>
      <c r="G167" s="15"/>
      <c r="H167" s="20">
        <v>-5.0217764515757303E-2</v>
      </c>
      <c r="I167" s="20">
        <v>2.9605211767096198E-2</v>
      </c>
      <c r="J167" s="24" t="e">
        <f>IF(#REF!&lt;&gt;0,3/#REF!,"N/A")</f>
        <v>#REF!</v>
      </c>
      <c r="K167" s="15"/>
      <c r="L167" t="s">
        <v>638</v>
      </c>
    </row>
    <row r="168" spans="1:12" ht="14.65" thickBot="1" x14ac:dyDescent="0.5">
      <c r="A168" s="2">
        <f t="shared" si="3"/>
        <v>167</v>
      </c>
      <c r="B168" s="5" t="s">
        <v>173</v>
      </c>
      <c r="C168" s="5" t="s">
        <v>668</v>
      </c>
      <c r="D168" s="5" t="s">
        <v>175</v>
      </c>
      <c r="E168" s="5" t="s">
        <v>483</v>
      </c>
      <c r="F168" s="4" t="s">
        <v>302</v>
      </c>
      <c r="G168" s="5"/>
      <c r="H168" s="6">
        <v>1.0506908049146E-3</v>
      </c>
      <c r="I168" s="6">
        <v>6.1209568601377003E-2</v>
      </c>
      <c r="J168" s="23" t="e">
        <f>IF(#REF!&lt;&gt;0,3/#REF!,"N/A")</f>
        <v>#REF!</v>
      </c>
      <c r="K168" s="5"/>
      <c r="L168" t="s">
        <v>638</v>
      </c>
    </row>
    <row r="169" spans="1:12" x14ac:dyDescent="0.45">
      <c r="A169" s="2">
        <f t="shared" si="3"/>
        <v>168</v>
      </c>
      <c r="B169" s="15" t="s">
        <v>173</v>
      </c>
      <c r="C169" s="15" t="s">
        <v>668</v>
      </c>
      <c r="D169" s="15" t="s">
        <v>174</v>
      </c>
      <c r="E169" s="15" t="s">
        <v>582</v>
      </c>
      <c r="F169" s="7" t="s">
        <v>302</v>
      </c>
      <c r="G169" s="15"/>
      <c r="H169" s="20">
        <v>0.5</v>
      </c>
      <c r="I169" s="20">
        <v>0</v>
      </c>
      <c r="J169" s="24" t="e">
        <f>IF(#REF!&lt;&gt;0,3/#REF!,"N/A")</f>
        <v>#REF!</v>
      </c>
      <c r="K169" s="15"/>
      <c r="L169" t="s">
        <v>638</v>
      </c>
    </row>
    <row r="170" spans="1:12" x14ac:dyDescent="0.45">
      <c r="A170" s="2">
        <f t="shared" si="3"/>
        <v>169</v>
      </c>
      <c r="B170" s="15" t="s">
        <v>173</v>
      </c>
      <c r="C170" s="15" t="s">
        <v>668</v>
      </c>
      <c r="D170" s="15" t="s">
        <v>177</v>
      </c>
      <c r="E170" s="15" t="s">
        <v>584</v>
      </c>
      <c r="F170" s="7" t="s">
        <v>302</v>
      </c>
      <c r="G170" s="15"/>
      <c r="H170" s="20">
        <v>-2.05467938553257</v>
      </c>
      <c r="I170" s="20">
        <v>-0.387706856852924</v>
      </c>
      <c r="J170" s="24" t="e">
        <f>IF(#REF!&lt;&gt;0,3/#REF!,"N/A")</f>
        <v>#REF!</v>
      </c>
      <c r="K170" s="15"/>
      <c r="L170" s="15" t="s">
        <v>638</v>
      </c>
    </row>
    <row r="171" spans="1:12" x14ac:dyDescent="0.45">
      <c r="A171" s="2">
        <f t="shared" ref="A171:A234" si="4">A170+1</f>
        <v>170</v>
      </c>
      <c r="B171" t="s">
        <v>173</v>
      </c>
      <c r="C171" t="s">
        <v>668</v>
      </c>
      <c r="D171" t="s">
        <v>176</v>
      </c>
      <c r="E171" t="s">
        <v>583</v>
      </c>
      <c r="F171" s="2" t="s">
        <v>302</v>
      </c>
      <c r="H171" s="3">
        <v>-0.63635085849499495</v>
      </c>
      <c r="I171" s="3">
        <v>0.100125156445557</v>
      </c>
      <c r="J171" s="13" t="e">
        <f>IF(#REF!&lt;&gt;0,3/#REF!,"N/A")</f>
        <v>#REF!</v>
      </c>
      <c r="L171" t="s">
        <v>638</v>
      </c>
    </row>
    <row r="172" spans="1:12" ht="14.65" thickBot="1" x14ac:dyDescent="0.5">
      <c r="A172" s="2">
        <f t="shared" si="4"/>
        <v>171</v>
      </c>
      <c r="B172" s="5" t="s">
        <v>178</v>
      </c>
      <c r="C172" s="5" t="s">
        <v>643</v>
      </c>
      <c r="D172" s="5" t="s">
        <v>179</v>
      </c>
      <c r="E172" s="5" t="s">
        <v>484</v>
      </c>
      <c r="F172" s="4" t="s">
        <v>302</v>
      </c>
      <c r="G172" s="5"/>
      <c r="H172" s="6">
        <v>-0.5</v>
      </c>
      <c r="I172" s="6">
        <v>-0.5</v>
      </c>
      <c r="J172" s="23" t="e">
        <f>IF(#REF!&lt;&gt;0,3/#REF!,"N/A")</f>
        <v>#REF!</v>
      </c>
      <c r="K172" s="5"/>
      <c r="L172" s="5" t="s">
        <v>638</v>
      </c>
    </row>
    <row r="173" spans="1:12" x14ac:dyDescent="0.45">
      <c r="A173" s="2">
        <f t="shared" si="4"/>
        <v>172</v>
      </c>
      <c r="B173" s="15" t="s">
        <v>178</v>
      </c>
      <c r="C173" s="15" t="s">
        <v>646</v>
      </c>
      <c r="D173" s="15" t="s">
        <v>326</v>
      </c>
      <c r="E173" s="15" t="s">
        <v>485</v>
      </c>
      <c r="F173" s="7" t="s">
        <v>302</v>
      </c>
      <c r="G173" s="15"/>
      <c r="H173" s="20">
        <v>-0.28988974570550302</v>
      </c>
      <c r="I173" s="20">
        <v>-0.561744537960148</v>
      </c>
      <c r="J173" s="24" t="e">
        <f>IF(#REF!&lt;&gt;0,3/#REF!,"N/A")</f>
        <v>#REF!</v>
      </c>
      <c r="K173" s="15"/>
      <c r="L173" s="15" t="s">
        <v>638</v>
      </c>
    </row>
    <row r="174" spans="1:12" x14ac:dyDescent="0.45">
      <c r="A174" s="2">
        <f t="shared" si="4"/>
        <v>173</v>
      </c>
      <c r="B174" t="s">
        <v>178</v>
      </c>
      <c r="C174" t="s">
        <v>646</v>
      </c>
      <c r="D174" t="s">
        <v>180</v>
      </c>
      <c r="E174" t="s">
        <v>486</v>
      </c>
      <c r="F174" s="2" t="s">
        <v>302</v>
      </c>
      <c r="H174" s="3">
        <v>-0.54094642857142805</v>
      </c>
      <c r="I174" s="3">
        <v>4.0113707983192998E-2</v>
      </c>
      <c r="J174" s="13" t="e">
        <f>IF(#REF!&lt;&gt;0,3/#REF!,"N/A")</f>
        <v>#REF!</v>
      </c>
      <c r="L174" t="s">
        <v>638</v>
      </c>
    </row>
    <row r="175" spans="1:12" x14ac:dyDescent="0.45">
      <c r="A175" s="2">
        <f t="shared" si="4"/>
        <v>174</v>
      </c>
      <c r="B175" t="s">
        <v>178</v>
      </c>
      <c r="C175" t="s">
        <v>646</v>
      </c>
      <c r="D175" t="s">
        <v>181</v>
      </c>
      <c r="E175" t="s">
        <v>400</v>
      </c>
      <c r="F175" s="2" t="s">
        <v>302</v>
      </c>
      <c r="H175" s="3">
        <v>-0.45390625000000001</v>
      </c>
      <c r="I175" s="3">
        <v>-3.90624999999999E-3</v>
      </c>
      <c r="J175" s="13" t="e">
        <f>IF(#REF!&lt;&gt;0,3/#REF!,"N/A")</f>
        <v>#REF!</v>
      </c>
      <c r="L175" t="s">
        <v>638</v>
      </c>
    </row>
    <row r="176" spans="1:12" x14ac:dyDescent="0.45">
      <c r="A176" s="2">
        <f t="shared" si="4"/>
        <v>175</v>
      </c>
      <c r="B176" t="s">
        <v>178</v>
      </c>
      <c r="C176" t="s">
        <v>672</v>
      </c>
      <c r="D176" t="s">
        <v>182</v>
      </c>
      <c r="E176" t="s">
        <v>585</v>
      </c>
      <c r="F176" s="2" t="s">
        <v>302</v>
      </c>
      <c r="H176" s="3">
        <v>0</v>
      </c>
      <c r="I176" s="3">
        <v>0</v>
      </c>
      <c r="J176" s="13" t="e">
        <f>IF(#REF!&lt;&gt;0,3/#REF!,"N/A")</f>
        <v>#REF!</v>
      </c>
      <c r="L176" t="s">
        <v>638</v>
      </c>
    </row>
    <row r="177" spans="1:12" x14ac:dyDescent="0.45">
      <c r="A177" s="2">
        <f t="shared" si="4"/>
        <v>176</v>
      </c>
      <c r="B177" t="s">
        <v>178</v>
      </c>
      <c r="C177" t="s">
        <v>672</v>
      </c>
      <c r="D177" t="s">
        <v>185</v>
      </c>
      <c r="E177" t="s">
        <v>487</v>
      </c>
      <c r="F177" s="2" t="s">
        <v>302</v>
      </c>
      <c r="H177" s="3">
        <v>0</v>
      </c>
      <c r="I177" s="3">
        <v>0</v>
      </c>
      <c r="J177" s="13" t="e">
        <f>IF(#REF!&lt;&gt;0,3/#REF!,"N/A")</f>
        <v>#REF!</v>
      </c>
      <c r="L177" t="s">
        <v>638</v>
      </c>
    </row>
    <row r="178" spans="1:12" x14ac:dyDescent="0.45">
      <c r="A178" s="2">
        <f t="shared" si="4"/>
        <v>177</v>
      </c>
      <c r="B178" t="s">
        <v>178</v>
      </c>
      <c r="C178" t="s">
        <v>672</v>
      </c>
      <c r="D178" t="s">
        <v>184</v>
      </c>
      <c r="E178" t="s">
        <v>183</v>
      </c>
      <c r="F178" s="2" t="s">
        <v>302</v>
      </c>
      <c r="H178" s="3">
        <v>0</v>
      </c>
      <c r="I178" s="3">
        <v>0</v>
      </c>
      <c r="J178" s="13" t="e">
        <f>IF(#REF!&lt;&gt;0,3/#REF!,"N/A")</f>
        <v>#REF!</v>
      </c>
      <c r="L178" t="s">
        <v>638</v>
      </c>
    </row>
    <row r="179" spans="1:12" x14ac:dyDescent="0.45">
      <c r="A179" s="2">
        <f t="shared" si="4"/>
        <v>178</v>
      </c>
      <c r="B179" t="s">
        <v>178</v>
      </c>
      <c r="C179" t="s">
        <v>684</v>
      </c>
      <c r="D179" t="s">
        <v>183</v>
      </c>
      <c r="E179" t="s">
        <v>673</v>
      </c>
      <c r="F179" s="2" t="s">
        <v>302</v>
      </c>
      <c r="H179" s="3">
        <v>0</v>
      </c>
      <c r="I179" s="3">
        <v>0</v>
      </c>
      <c r="J179" s="13" t="e">
        <f>IF(#REF!&lt;&gt;0,3/#REF!,"N/A")</f>
        <v>#REF!</v>
      </c>
      <c r="L179" t="s">
        <v>638</v>
      </c>
    </row>
    <row r="180" spans="1:12" x14ac:dyDescent="0.45">
      <c r="A180" s="2">
        <f t="shared" si="4"/>
        <v>179</v>
      </c>
      <c r="B180" t="s">
        <v>178</v>
      </c>
      <c r="C180" t="s">
        <v>672</v>
      </c>
      <c r="D180" t="s">
        <v>186</v>
      </c>
      <c r="E180" t="s">
        <v>395</v>
      </c>
      <c r="F180" s="2" t="s">
        <v>302</v>
      </c>
      <c r="H180" s="3">
        <v>0.99957651044607498</v>
      </c>
      <c r="I180" s="3">
        <v>6.3523433088651503E-3</v>
      </c>
      <c r="J180" s="13" t="e">
        <f>IF(#REF!&lt;&gt;0,3/#REF!,"N/A")</f>
        <v>#REF!</v>
      </c>
      <c r="L180" t="s">
        <v>638</v>
      </c>
    </row>
    <row r="181" spans="1:12" x14ac:dyDescent="0.45">
      <c r="A181" s="2">
        <f t="shared" si="4"/>
        <v>180</v>
      </c>
      <c r="B181" t="s">
        <v>178</v>
      </c>
      <c r="C181" t="s">
        <v>646</v>
      </c>
      <c r="D181" t="s">
        <v>187</v>
      </c>
      <c r="E181" t="s">
        <v>187</v>
      </c>
      <c r="F181" s="2" t="s">
        <v>302</v>
      </c>
      <c r="H181" s="3"/>
      <c r="I181" s="3"/>
      <c r="J181" s="13" t="e">
        <f>IF(#REF!&lt;&gt;0,3/#REF!,"N/A")</f>
        <v>#REF!</v>
      </c>
      <c r="L181" t="s">
        <v>638</v>
      </c>
    </row>
    <row r="182" spans="1:12" x14ac:dyDescent="0.45">
      <c r="A182" s="2">
        <f t="shared" si="4"/>
        <v>181</v>
      </c>
      <c r="B182" t="s">
        <v>178</v>
      </c>
      <c r="C182" t="s">
        <v>672</v>
      </c>
      <c r="D182" t="s">
        <v>188</v>
      </c>
      <c r="E182" t="s">
        <v>488</v>
      </c>
      <c r="F182" s="2" t="s">
        <v>302</v>
      </c>
      <c r="H182" s="3"/>
      <c r="I182" s="3"/>
      <c r="J182" s="13" t="e">
        <f>IF(#REF!&lt;&gt;0,3/#REF!,"N/A")</f>
        <v>#REF!</v>
      </c>
      <c r="L182" t="s">
        <v>638</v>
      </c>
    </row>
    <row r="183" spans="1:12" x14ac:dyDescent="0.45">
      <c r="A183" s="2">
        <f t="shared" si="4"/>
        <v>182</v>
      </c>
      <c r="B183" t="s">
        <v>178</v>
      </c>
      <c r="C183" t="s">
        <v>672</v>
      </c>
      <c r="D183" t="s">
        <v>189</v>
      </c>
      <c r="E183" t="s">
        <v>586</v>
      </c>
      <c r="F183" s="2" t="s">
        <v>302</v>
      </c>
      <c r="H183" s="3">
        <v>-0.36210937499999901</v>
      </c>
      <c r="I183" s="3">
        <v>-4.6874999999999903E-3</v>
      </c>
      <c r="J183" s="13" t="e">
        <f>IF(#REF!&lt;&gt;0,3/#REF!,"N/A")</f>
        <v>#REF!</v>
      </c>
      <c r="L183" t="s">
        <v>638</v>
      </c>
    </row>
    <row r="184" spans="1:12" x14ac:dyDescent="0.45">
      <c r="A184" s="2">
        <f t="shared" si="4"/>
        <v>183</v>
      </c>
      <c r="B184" t="s">
        <v>178</v>
      </c>
      <c r="C184" t="s">
        <v>646</v>
      </c>
      <c r="D184" t="s">
        <v>190</v>
      </c>
      <c r="E184" t="s">
        <v>587</v>
      </c>
      <c r="F184" s="2" t="s">
        <v>302</v>
      </c>
      <c r="G184" t="s">
        <v>338</v>
      </c>
      <c r="H184" s="3">
        <v>-0.394574846588925</v>
      </c>
      <c r="I184" s="3">
        <v>-1.6110981627733001E-3</v>
      </c>
      <c r="J184" s="13" t="e">
        <f>IF(#REF!&lt;&gt;0,3/#REF!,"N/A")</f>
        <v>#REF!</v>
      </c>
      <c r="L184" t="s">
        <v>638</v>
      </c>
    </row>
    <row r="185" spans="1:12" x14ac:dyDescent="0.45">
      <c r="A185" s="2">
        <f t="shared" si="4"/>
        <v>184</v>
      </c>
      <c r="B185" t="s">
        <v>178</v>
      </c>
      <c r="C185" t="s">
        <v>670</v>
      </c>
      <c r="D185" t="s">
        <v>308</v>
      </c>
      <c r="E185" t="s">
        <v>467</v>
      </c>
      <c r="F185" s="2" t="s">
        <v>302</v>
      </c>
      <c r="H185" s="3">
        <v>-0.15712696055775799</v>
      </c>
      <c r="I185" s="3">
        <v>5.5483965529608704E-3</v>
      </c>
      <c r="J185" s="13" t="e">
        <f>IF(#REF!&lt;&gt;0,3/#REF!,"N/A")</f>
        <v>#REF!</v>
      </c>
      <c r="L185" t="s">
        <v>638</v>
      </c>
    </row>
    <row r="186" spans="1:12" x14ac:dyDescent="0.45">
      <c r="A186" s="2">
        <f t="shared" si="4"/>
        <v>185</v>
      </c>
      <c r="B186" t="s">
        <v>178</v>
      </c>
      <c r="C186" t="s">
        <v>670</v>
      </c>
      <c r="D186" t="s">
        <v>309</v>
      </c>
      <c r="E186" t="s">
        <v>468</v>
      </c>
      <c r="F186" s="2" t="s">
        <v>302</v>
      </c>
      <c r="H186" s="3">
        <v>0</v>
      </c>
      <c r="I186" s="3">
        <v>0</v>
      </c>
      <c r="J186" s="13" t="e">
        <f>IF(#REF!&lt;&gt;0,3/#REF!,"N/A")</f>
        <v>#REF!</v>
      </c>
      <c r="L186" t="s">
        <v>638</v>
      </c>
    </row>
    <row r="187" spans="1:12" x14ac:dyDescent="0.45">
      <c r="A187" s="2">
        <f t="shared" si="4"/>
        <v>186</v>
      </c>
      <c r="B187" t="s">
        <v>178</v>
      </c>
      <c r="C187" t="s">
        <v>670</v>
      </c>
      <c r="D187" t="s">
        <v>310</v>
      </c>
      <c r="E187" t="s">
        <v>590</v>
      </c>
      <c r="F187" s="2" t="s">
        <v>302</v>
      </c>
      <c r="H187" s="3">
        <v>0</v>
      </c>
      <c r="I187" s="3">
        <v>0</v>
      </c>
      <c r="J187" s="13" t="e">
        <f>IF(#REF!&lt;&gt;0,3/#REF!,"N/A")</f>
        <v>#REF!</v>
      </c>
      <c r="L187" t="s">
        <v>638</v>
      </c>
    </row>
    <row r="188" spans="1:12" x14ac:dyDescent="0.45">
      <c r="A188" s="2">
        <f t="shared" si="4"/>
        <v>187</v>
      </c>
      <c r="B188" t="s">
        <v>178</v>
      </c>
      <c r="C188" t="s">
        <v>681</v>
      </c>
      <c r="D188" t="s">
        <v>191</v>
      </c>
      <c r="E188" t="s">
        <v>489</v>
      </c>
      <c r="F188" s="2" t="s">
        <v>302</v>
      </c>
      <c r="H188" s="3">
        <v>0</v>
      </c>
      <c r="I188" s="3">
        <v>0</v>
      </c>
      <c r="J188" s="13" t="e">
        <f>IF(#REF!&lt;&gt;0,3/#REF!,"N/A")</f>
        <v>#REF!</v>
      </c>
      <c r="L188" t="s">
        <v>638</v>
      </c>
    </row>
    <row r="189" spans="1:12" x14ac:dyDescent="0.45">
      <c r="A189" s="2">
        <f t="shared" si="4"/>
        <v>188</v>
      </c>
      <c r="B189" t="s">
        <v>178</v>
      </c>
      <c r="C189" t="s">
        <v>681</v>
      </c>
      <c r="D189" t="s">
        <v>192</v>
      </c>
      <c r="E189" t="s">
        <v>588</v>
      </c>
      <c r="F189" s="2" t="s">
        <v>302</v>
      </c>
      <c r="H189" s="3">
        <v>0</v>
      </c>
      <c r="I189" s="3">
        <v>0</v>
      </c>
      <c r="J189" s="13" t="e">
        <f>IF(#REF!&lt;&gt;0,3/#REF!,"N/A")</f>
        <v>#REF!</v>
      </c>
      <c r="L189" t="s">
        <v>638</v>
      </c>
    </row>
    <row r="190" spans="1:12" x14ac:dyDescent="0.45">
      <c r="A190" s="2">
        <f t="shared" si="4"/>
        <v>189</v>
      </c>
      <c r="B190" t="s">
        <v>178</v>
      </c>
      <c r="C190" t="s">
        <v>681</v>
      </c>
      <c r="D190" t="s">
        <v>193</v>
      </c>
      <c r="E190" t="s">
        <v>589</v>
      </c>
      <c r="F190" s="2" t="s">
        <v>302</v>
      </c>
      <c r="H190" s="3">
        <v>0</v>
      </c>
      <c r="I190" s="3">
        <v>0</v>
      </c>
      <c r="J190" s="13" t="e">
        <f>IF(#REF!&lt;&gt;0,3/#REF!,"N/A")</f>
        <v>#REF!</v>
      </c>
      <c r="L190" t="s">
        <v>638</v>
      </c>
    </row>
    <row r="191" spans="1:12" x14ac:dyDescent="0.45">
      <c r="A191" s="2">
        <f t="shared" si="4"/>
        <v>190</v>
      </c>
      <c r="B191" t="s">
        <v>178</v>
      </c>
      <c r="C191" t="s">
        <v>646</v>
      </c>
      <c r="D191" t="s">
        <v>194</v>
      </c>
      <c r="E191" t="s">
        <v>401</v>
      </c>
      <c r="F191" s="2" t="s">
        <v>302</v>
      </c>
      <c r="H191" s="3">
        <v>-0.148758993771477</v>
      </c>
      <c r="I191" s="3">
        <v>0.62955326460480998</v>
      </c>
      <c r="J191" s="13" t="e">
        <f>IF(#REF!&lt;&gt;0,3/#REF!,"N/A")</f>
        <v>#REF!</v>
      </c>
      <c r="L191" t="s">
        <v>638</v>
      </c>
    </row>
    <row r="192" spans="1:12" x14ac:dyDescent="0.45">
      <c r="A192" s="2">
        <f t="shared" si="4"/>
        <v>191</v>
      </c>
      <c r="B192" t="s">
        <v>178</v>
      </c>
      <c r="C192" t="s">
        <v>646</v>
      </c>
      <c r="D192" t="s">
        <v>195</v>
      </c>
      <c r="E192" t="s">
        <v>490</v>
      </c>
      <c r="F192" s="2" t="s">
        <v>302</v>
      </c>
      <c r="H192" s="3">
        <v>0</v>
      </c>
      <c r="I192" s="3">
        <v>0</v>
      </c>
      <c r="J192" s="13" t="e">
        <f>IF(#REF!&lt;&gt;0,3/#REF!,"N/A")</f>
        <v>#REF!</v>
      </c>
      <c r="L192" t="s">
        <v>638</v>
      </c>
    </row>
    <row r="193" spans="1:12" x14ac:dyDescent="0.45">
      <c r="A193" s="2">
        <f t="shared" si="4"/>
        <v>192</v>
      </c>
      <c r="B193" t="s">
        <v>178</v>
      </c>
      <c r="C193" t="s">
        <v>646</v>
      </c>
      <c r="D193" t="s">
        <v>196</v>
      </c>
      <c r="E193" t="s">
        <v>196</v>
      </c>
      <c r="F193" s="2" t="s">
        <v>302</v>
      </c>
      <c r="G193" t="s">
        <v>339</v>
      </c>
      <c r="H193" s="3">
        <v>-0.58828124999999898</v>
      </c>
      <c r="I193" s="3">
        <v>-4.6874999999999903E-3</v>
      </c>
      <c r="J193" s="13" t="e">
        <f>IF(#REF!&lt;&gt;0,3/#REF!,"N/A")</f>
        <v>#REF!</v>
      </c>
      <c r="L193" t="s">
        <v>638</v>
      </c>
    </row>
    <row r="194" spans="1:12" x14ac:dyDescent="0.45">
      <c r="A194" s="2">
        <f t="shared" si="4"/>
        <v>193</v>
      </c>
      <c r="B194" t="s">
        <v>178</v>
      </c>
      <c r="C194" t="s">
        <v>672</v>
      </c>
      <c r="D194" t="s">
        <v>197</v>
      </c>
      <c r="E194" t="s">
        <v>491</v>
      </c>
      <c r="F194" s="2" t="s">
        <v>302</v>
      </c>
      <c r="H194" s="3">
        <v>-0.249609374999999</v>
      </c>
      <c r="I194" s="3">
        <v>-1.6406250000000001E-2</v>
      </c>
      <c r="J194" s="13" t="e">
        <f>IF(#REF!&lt;&gt;0,3/#REF!,"N/A")</f>
        <v>#REF!</v>
      </c>
      <c r="L194" t="s">
        <v>638</v>
      </c>
    </row>
    <row r="195" spans="1:12" x14ac:dyDescent="0.45">
      <c r="A195" s="2">
        <f t="shared" si="4"/>
        <v>194</v>
      </c>
      <c r="B195" t="s">
        <v>178</v>
      </c>
      <c r="C195" t="s">
        <v>672</v>
      </c>
      <c r="D195" t="s">
        <v>198</v>
      </c>
      <c r="E195" t="s">
        <v>198</v>
      </c>
      <c r="F195" s="2" t="s">
        <v>302</v>
      </c>
      <c r="H195" s="3">
        <v>-0.2109375</v>
      </c>
      <c r="I195" s="3">
        <v>-1.8749999999999899E-2</v>
      </c>
      <c r="J195" s="13" t="e">
        <f>IF(#REF!&lt;&gt;0,3/#REF!,"N/A")</f>
        <v>#REF!</v>
      </c>
      <c r="L195" t="s">
        <v>638</v>
      </c>
    </row>
    <row r="196" spans="1:12" x14ac:dyDescent="0.45">
      <c r="A196" s="2">
        <f t="shared" si="4"/>
        <v>195</v>
      </c>
      <c r="B196" t="s">
        <v>178</v>
      </c>
      <c r="C196" t="s">
        <v>684</v>
      </c>
      <c r="D196" t="s">
        <v>199</v>
      </c>
      <c r="E196" t="s">
        <v>492</v>
      </c>
      <c r="F196" s="2" t="s">
        <v>302</v>
      </c>
      <c r="H196" s="3">
        <v>-1.8681088587872701E-3</v>
      </c>
      <c r="I196" s="3">
        <v>1.45213559590144E-3</v>
      </c>
      <c r="J196" s="13" t="e">
        <f>IF(#REF!&lt;&gt;0,3/#REF!,"N/A")</f>
        <v>#REF!</v>
      </c>
      <c r="L196" t="s">
        <v>638</v>
      </c>
    </row>
    <row r="197" spans="1:12" x14ac:dyDescent="0.45">
      <c r="A197" s="2">
        <f t="shared" si="4"/>
        <v>196</v>
      </c>
      <c r="B197" t="s">
        <v>178</v>
      </c>
      <c r="C197" t="s">
        <v>671</v>
      </c>
      <c r="D197" t="s">
        <v>200</v>
      </c>
      <c r="E197" t="s">
        <v>493</v>
      </c>
      <c r="F197" s="2" t="s">
        <v>302</v>
      </c>
      <c r="H197" s="3">
        <v>-0.248521008366511</v>
      </c>
      <c r="I197" s="3">
        <v>3.6650423737307002E-2</v>
      </c>
      <c r="J197" s="13" t="e">
        <f>IF(#REF!&lt;&gt;0,3/#REF!,"N/A")</f>
        <v>#REF!</v>
      </c>
      <c r="L197" t="s">
        <v>638</v>
      </c>
    </row>
    <row r="198" spans="1:12" x14ac:dyDescent="0.45">
      <c r="A198" s="2">
        <f t="shared" si="4"/>
        <v>197</v>
      </c>
      <c r="B198" s="15" t="s">
        <v>178</v>
      </c>
      <c r="C198" s="15" t="s">
        <v>646</v>
      </c>
      <c r="D198" s="15" t="s">
        <v>201</v>
      </c>
      <c r="E198" s="15" t="s">
        <v>494</v>
      </c>
      <c r="F198" s="7" t="s">
        <v>302</v>
      </c>
      <c r="G198" s="15"/>
      <c r="H198" s="20">
        <v>-0.109897735001431</v>
      </c>
      <c r="I198" s="20">
        <v>-4.35438144329897E-2</v>
      </c>
      <c r="J198" s="24" t="e">
        <f>IF(#REF!&lt;&gt;0,3/#REF!,"N/A")</f>
        <v>#REF!</v>
      </c>
      <c r="K198" s="15"/>
      <c r="L198" s="15" t="s">
        <v>638</v>
      </c>
    </row>
    <row r="199" spans="1:12" ht="14.65" thickBot="1" x14ac:dyDescent="0.5">
      <c r="A199" s="2">
        <f t="shared" si="4"/>
        <v>198</v>
      </c>
      <c r="B199" s="5" t="s">
        <v>303</v>
      </c>
      <c r="C199" s="5" t="s">
        <v>679</v>
      </c>
      <c r="D199" s="5" t="s">
        <v>242</v>
      </c>
      <c r="E199" s="5" t="s">
        <v>495</v>
      </c>
      <c r="F199" s="4" t="s">
        <v>302</v>
      </c>
      <c r="G199" s="5"/>
      <c r="H199" s="6">
        <v>-0.214285714285714</v>
      </c>
      <c r="I199" s="6">
        <v>-0.57756696428571397</v>
      </c>
      <c r="J199" s="23" t="e">
        <f>IF(#REF!&lt;&gt;0,3/#REF!,"N/A")</f>
        <v>#REF!</v>
      </c>
      <c r="K199" s="5"/>
      <c r="L199" s="5" t="s">
        <v>638</v>
      </c>
    </row>
    <row r="200" spans="1:12" x14ac:dyDescent="0.45">
      <c r="A200" s="2">
        <f t="shared" si="4"/>
        <v>199</v>
      </c>
      <c r="B200" t="s">
        <v>303</v>
      </c>
      <c r="C200" t="s">
        <v>679</v>
      </c>
      <c r="D200" t="s">
        <v>243</v>
      </c>
      <c r="E200" t="s">
        <v>496</v>
      </c>
      <c r="F200" s="2" t="s">
        <v>302</v>
      </c>
      <c r="H200" s="3">
        <v>0</v>
      </c>
      <c r="I200" s="3">
        <v>0</v>
      </c>
      <c r="J200" s="13" t="e">
        <f>IF(#REF!&lt;&gt;0,3/#REF!,"N/A")</f>
        <v>#REF!</v>
      </c>
      <c r="L200" t="s">
        <v>638</v>
      </c>
    </row>
    <row r="201" spans="1:12" x14ac:dyDescent="0.45">
      <c r="A201" s="2">
        <f t="shared" si="4"/>
        <v>200</v>
      </c>
      <c r="B201" t="s">
        <v>303</v>
      </c>
      <c r="C201" t="s">
        <v>679</v>
      </c>
      <c r="D201" t="s">
        <v>244</v>
      </c>
      <c r="E201" t="s">
        <v>497</v>
      </c>
      <c r="F201" s="2" t="s">
        <v>302</v>
      </c>
      <c r="H201" s="3">
        <v>-0.19380004332237499</v>
      </c>
      <c r="I201" s="3">
        <v>1.8667670377751001E-2</v>
      </c>
      <c r="J201" s="13" t="e">
        <f>IF(#REF!&lt;&gt;0,3/#REF!,"N/A")</f>
        <v>#REF!</v>
      </c>
      <c r="L201" t="s">
        <v>638</v>
      </c>
    </row>
    <row r="202" spans="1:12" x14ac:dyDescent="0.45">
      <c r="A202" s="2">
        <f t="shared" si="4"/>
        <v>201</v>
      </c>
      <c r="B202" t="s">
        <v>303</v>
      </c>
      <c r="C202" t="s">
        <v>679</v>
      </c>
      <c r="D202" t="s">
        <v>245</v>
      </c>
      <c r="E202" t="s">
        <v>498</v>
      </c>
      <c r="F202" s="2" t="s">
        <v>302</v>
      </c>
      <c r="H202" s="3">
        <v>-0.114484592013889</v>
      </c>
      <c r="I202" s="3">
        <v>4.7308132875143504E-3</v>
      </c>
      <c r="J202" s="13" t="e">
        <f>IF(#REF!&lt;&gt;0,3/#REF!,"N/A")</f>
        <v>#REF!</v>
      </c>
      <c r="L202" t="s">
        <v>638</v>
      </c>
    </row>
    <row r="203" spans="1:12" x14ac:dyDescent="0.45">
      <c r="A203" s="2">
        <f t="shared" si="4"/>
        <v>202</v>
      </c>
      <c r="B203" t="s">
        <v>303</v>
      </c>
      <c r="C203" t="s">
        <v>679</v>
      </c>
      <c r="D203" t="s">
        <v>246</v>
      </c>
      <c r="E203" t="s">
        <v>499</v>
      </c>
      <c r="F203" s="2" t="s">
        <v>302</v>
      </c>
      <c r="H203" s="3">
        <v>7.5036966004140407E-2</v>
      </c>
      <c r="I203" s="3">
        <v>-2.21804600992744E-2</v>
      </c>
      <c r="J203" s="13" t="e">
        <f>IF(#REF!&lt;&gt;0,3/#REF!,"N/A")</f>
        <v>#REF!</v>
      </c>
      <c r="L203" t="s">
        <v>638</v>
      </c>
    </row>
    <row r="204" spans="1:12" x14ac:dyDescent="0.45">
      <c r="A204" s="2">
        <f t="shared" si="4"/>
        <v>203</v>
      </c>
      <c r="B204" t="s">
        <v>303</v>
      </c>
      <c r="C204" t="s">
        <v>679</v>
      </c>
      <c r="D204" t="s">
        <v>247</v>
      </c>
      <c r="E204" t="s">
        <v>500</v>
      </c>
      <c r="F204" s="2" t="s">
        <v>302</v>
      </c>
      <c r="H204" s="3">
        <v>-1.2357903888167401E-2</v>
      </c>
      <c r="I204" s="3">
        <v>-4.4905939034107098E-2</v>
      </c>
      <c r="J204" s="13" t="e">
        <f>IF(#REF!&lt;&gt;0,3/#REF!,"N/A")</f>
        <v>#REF!</v>
      </c>
      <c r="L204" t="s">
        <v>638</v>
      </c>
    </row>
    <row r="205" spans="1:12" x14ac:dyDescent="0.45">
      <c r="A205" s="2">
        <f t="shared" si="4"/>
        <v>204</v>
      </c>
      <c r="B205" t="s">
        <v>303</v>
      </c>
      <c r="C205" t="s">
        <v>679</v>
      </c>
      <c r="D205" t="s">
        <v>248</v>
      </c>
      <c r="E205" t="s">
        <v>501</v>
      </c>
      <c r="F205" s="2" t="s">
        <v>302</v>
      </c>
      <c r="H205" s="3">
        <v>0</v>
      </c>
      <c r="I205" s="3">
        <v>0</v>
      </c>
      <c r="J205" s="13" t="e">
        <f>IF(#REF!&lt;&gt;0,3/#REF!,"N/A")</f>
        <v>#REF!</v>
      </c>
      <c r="L205" t="s">
        <v>638</v>
      </c>
    </row>
    <row r="206" spans="1:12" x14ac:dyDescent="0.45">
      <c r="A206" s="2">
        <f t="shared" si="4"/>
        <v>205</v>
      </c>
      <c r="B206" s="15" t="s">
        <v>303</v>
      </c>
      <c r="C206" s="15" t="s">
        <v>679</v>
      </c>
      <c r="D206" s="15" t="s">
        <v>249</v>
      </c>
      <c r="E206" s="15" t="s">
        <v>502</v>
      </c>
      <c r="F206" s="7" t="s">
        <v>302</v>
      </c>
      <c r="G206" s="15"/>
      <c r="H206" s="20">
        <v>0</v>
      </c>
      <c r="I206" s="20">
        <v>0</v>
      </c>
      <c r="J206" s="24" t="e">
        <f>IF(#REF!&lt;&gt;0,3/#REF!,"N/A")</f>
        <v>#REF!</v>
      </c>
      <c r="K206" s="15"/>
      <c r="L206" s="15" t="s">
        <v>638</v>
      </c>
    </row>
    <row r="207" spans="1:12" ht="14.65" thickBot="1" x14ac:dyDescent="0.5">
      <c r="A207" s="2">
        <f t="shared" si="4"/>
        <v>206</v>
      </c>
      <c r="B207" s="5" t="s">
        <v>202</v>
      </c>
      <c r="C207" s="5" t="s">
        <v>674</v>
      </c>
      <c r="D207" s="5" t="s">
        <v>313</v>
      </c>
      <c r="E207" s="5" t="s">
        <v>591</v>
      </c>
      <c r="F207" s="4" t="s">
        <v>302</v>
      </c>
      <c r="G207" s="5"/>
      <c r="H207" s="6"/>
      <c r="I207" s="6"/>
      <c r="J207" s="23" t="e">
        <f>IF(#REF!&lt;&gt;0,3/#REF!,"N/A")</f>
        <v>#REF!</v>
      </c>
      <c r="K207" s="5"/>
      <c r="L207" s="5" t="s">
        <v>638</v>
      </c>
    </row>
    <row r="208" spans="1:12" x14ac:dyDescent="0.45">
      <c r="A208" s="2">
        <f t="shared" si="4"/>
        <v>207</v>
      </c>
      <c r="B208" t="s">
        <v>202</v>
      </c>
      <c r="C208" t="s">
        <v>675</v>
      </c>
      <c r="D208" t="s">
        <v>314</v>
      </c>
      <c r="E208" t="s">
        <v>592</v>
      </c>
      <c r="F208" s="2" t="s">
        <v>302</v>
      </c>
      <c r="H208" s="3"/>
      <c r="I208" s="3"/>
      <c r="J208" s="13" t="e">
        <f>IF(#REF!&lt;&gt;0,3/#REF!,"N/A")</f>
        <v>#REF!</v>
      </c>
      <c r="L208" t="s">
        <v>638</v>
      </c>
    </row>
    <row r="209" spans="1:12" x14ac:dyDescent="0.45">
      <c r="A209" s="2">
        <f t="shared" si="4"/>
        <v>208</v>
      </c>
      <c r="B209" t="s">
        <v>202</v>
      </c>
      <c r="C209" t="s">
        <v>675</v>
      </c>
      <c r="D209" t="s">
        <v>203</v>
      </c>
      <c r="E209" t="s">
        <v>503</v>
      </c>
      <c r="F209" s="2" t="s">
        <v>302</v>
      </c>
      <c r="G209" t="s">
        <v>352</v>
      </c>
      <c r="H209" s="3">
        <v>0</v>
      </c>
      <c r="I209" s="3">
        <v>0</v>
      </c>
      <c r="J209" s="13" t="e">
        <f>IF(#REF!&lt;&gt;0,3/#REF!,"N/A")</f>
        <v>#REF!</v>
      </c>
      <c r="L209" t="s">
        <v>638</v>
      </c>
    </row>
    <row r="210" spans="1:12" x14ac:dyDescent="0.45">
      <c r="A210" s="2">
        <f t="shared" si="4"/>
        <v>209</v>
      </c>
      <c r="B210" t="s">
        <v>202</v>
      </c>
      <c r="C210" t="s">
        <v>675</v>
      </c>
      <c r="D210" t="s">
        <v>315</v>
      </c>
      <c r="E210" t="s">
        <v>593</v>
      </c>
      <c r="F210" s="2" t="s">
        <v>302</v>
      </c>
      <c r="H210" s="3"/>
      <c r="I210" s="3"/>
      <c r="J210" s="13" t="e">
        <f>IF(#REF!&lt;&gt;0,3/#REF!,"N/A")</f>
        <v>#REF!</v>
      </c>
      <c r="L210" t="s">
        <v>638</v>
      </c>
    </row>
    <row r="211" spans="1:12" x14ac:dyDescent="0.45">
      <c r="A211" s="2">
        <f t="shared" si="4"/>
        <v>210</v>
      </c>
      <c r="B211" t="s">
        <v>202</v>
      </c>
      <c r="C211" t="s">
        <v>675</v>
      </c>
      <c r="D211" t="s">
        <v>316</v>
      </c>
      <c r="E211" t="s">
        <v>594</v>
      </c>
      <c r="F211" s="2" t="s">
        <v>302</v>
      </c>
      <c r="H211" s="3"/>
      <c r="I211" s="3"/>
      <c r="J211" s="13" t="e">
        <f>IF(#REF!&lt;&gt;0,3/#REF!,"N/A")</f>
        <v>#REF!</v>
      </c>
      <c r="L211" t="s">
        <v>638</v>
      </c>
    </row>
    <row r="212" spans="1:12" x14ac:dyDescent="0.45">
      <c r="A212" s="2">
        <f t="shared" si="4"/>
        <v>211</v>
      </c>
      <c r="B212" t="s">
        <v>202</v>
      </c>
      <c r="C212" t="s">
        <v>675</v>
      </c>
      <c r="D212" t="s">
        <v>317</v>
      </c>
      <c r="E212" t="s">
        <v>595</v>
      </c>
      <c r="F212" s="2" t="s">
        <v>302</v>
      </c>
      <c r="H212" s="3"/>
      <c r="I212" s="3"/>
      <c r="J212" s="13" t="e">
        <f>IF(#REF!&lt;&gt;0,3/#REF!,"N/A")</f>
        <v>#REF!</v>
      </c>
      <c r="L212" t="s">
        <v>638</v>
      </c>
    </row>
    <row r="213" spans="1:12" x14ac:dyDescent="0.45">
      <c r="A213" s="2">
        <f t="shared" si="4"/>
        <v>212</v>
      </c>
      <c r="B213" t="s">
        <v>202</v>
      </c>
      <c r="C213" t="s">
        <v>675</v>
      </c>
      <c r="D213" t="s">
        <v>204</v>
      </c>
      <c r="E213" t="s">
        <v>596</v>
      </c>
      <c r="F213" s="2" t="s">
        <v>302</v>
      </c>
      <c r="G213" t="s">
        <v>340</v>
      </c>
      <c r="H213" s="3">
        <v>0</v>
      </c>
      <c r="I213" s="3">
        <v>0</v>
      </c>
      <c r="J213" s="13" t="e">
        <f>IF(#REF!&lt;&gt;0,3/#REF!,"N/A")</f>
        <v>#REF!</v>
      </c>
      <c r="L213" t="s">
        <v>638</v>
      </c>
    </row>
    <row r="214" spans="1:12" x14ac:dyDescent="0.45">
      <c r="A214" s="2">
        <f t="shared" si="4"/>
        <v>213</v>
      </c>
      <c r="B214" s="15" t="s">
        <v>202</v>
      </c>
      <c r="C214" t="s">
        <v>674</v>
      </c>
      <c r="D214" s="15" t="s">
        <v>205</v>
      </c>
      <c r="E214" s="15" t="s">
        <v>205</v>
      </c>
      <c r="F214" s="7" t="s">
        <v>302</v>
      </c>
      <c r="G214" s="15"/>
      <c r="H214" s="20">
        <v>-0.55139768622793595</v>
      </c>
      <c r="I214" s="20">
        <v>2.63177386339149E-2</v>
      </c>
      <c r="J214" s="24" t="e">
        <f>IF(#REF!&lt;&gt;0,3/#REF!,"N/A")</f>
        <v>#REF!</v>
      </c>
      <c r="K214" s="15"/>
      <c r="L214" s="15" t="s">
        <v>638</v>
      </c>
    </row>
    <row r="215" spans="1:12" ht="14.65" thickBot="1" x14ac:dyDescent="0.5">
      <c r="A215" s="2">
        <f t="shared" si="4"/>
        <v>214</v>
      </c>
      <c r="B215" s="5" t="s">
        <v>206</v>
      </c>
      <c r="C215" t="s">
        <v>676</v>
      </c>
      <c r="D215" s="5" t="s">
        <v>207</v>
      </c>
      <c r="E215" s="5" t="s">
        <v>504</v>
      </c>
      <c r="F215" s="4" t="s">
        <v>302</v>
      </c>
      <c r="G215" s="5"/>
      <c r="H215" s="6">
        <v>0</v>
      </c>
      <c r="I215" s="6">
        <v>0</v>
      </c>
      <c r="J215" s="23" t="e">
        <f>IF(#REF!&lt;&gt;0,3/#REF!,"N/A")</f>
        <v>#REF!</v>
      </c>
      <c r="K215" s="5"/>
      <c r="L215" s="5" t="s">
        <v>638</v>
      </c>
    </row>
    <row r="216" spans="1:12" x14ac:dyDescent="0.45">
      <c r="A216" s="2">
        <f t="shared" si="4"/>
        <v>215</v>
      </c>
      <c r="B216" t="s">
        <v>206</v>
      </c>
      <c r="C216" t="s">
        <v>676</v>
      </c>
      <c r="D216" t="s">
        <v>208</v>
      </c>
      <c r="E216" t="s">
        <v>505</v>
      </c>
      <c r="F216" s="2" t="s">
        <v>302</v>
      </c>
      <c r="H216" s="3">
        <v>0</v>
      </c>
      <c r="I216" s="3">
        <v>0</v>
      </c>
      <c r="J216" s="13" t="e">
        <f>IF(#REF!&lt;&gt;0,3/#REF!,"N/A")</f>
        <v>#REF!</v>
      </c>
      <c r="L216" t="s">
        <v>638</v>
      </c>
    </row>
    <row r="217" spans="1:12" x14ac:dyDescent="0.45">
      <c r="A217" s="2">
        <f t="shared" si="4"/>
        <v>216</v>
      </c>
      <c r="B217" t="s">
        <v>206</v>
      </c>
      <c r="C217" t="s">
        <v>676</v>
      </c>
      <c r="D217" t="s">
        <v>209</v>
      </c>
      <c r="E217" t="s">
        <v>506</v>
      </c>
      <c r="F217" s="2" t="s">
        <v>302</v>
      </c>
      <c r="H217" s="3">
        <v>0</v>
      </c>
      <c r="I217" s="3">
        <v>0</v>
      </c>
      <c r="J217" s="13" t="e">
        <f>IF(#REF!&lt;&gt;0,3/#REF!,"N/A")</f>
        <v>#REF!</v>
      </c>
      <c r="L217" t="s">
        <v>638</v>
      </c>
    </row>
    <row r="218" spans="1:12" x14ac:dyDescent="0.45">
      <c r="A218" s="2">
        <f t="shared" si="4"/>
        <v>217</v>
      </c>
      <c r="B218" s="15" t="s">
        <v>206</v>
      </c>
      <c r="C218" s="15" t="s">
        <v>676</v>
      </c>
      <c r="D218" s="15" t="s">
        <v>210</v>
      </c>
      <c r="E218" s="15" t="s">
        <v>507</v>
      </c>
      <c r="F218" s="7" t="s">
        <v>302</v>
      </c>
      <c r="G218" s="15"/>
      <c r="H218" s="20">
        <v>-0.24257812499999901</v>
      </c>
      <c r="I218" s="20">
        <v>-3.5156249999999901E-3</v>
      </c>
      <c r="J218" s="24" t="e">
        <f>IF(#REF!&lt;&gt;0,3/#REF!,"N/A")</f>
        <v>#REF!</v>
      </c>
      <c r="K218" s="15"/>
      <c r="L218" s="15" t="s">
        <v>638</v>
      </c>
    </row>
    <row r="219" spans="1:12" ht="14.65" thickBot="1" x14ac:dyDescent="0.5">
      <c r="A219" s="2">
        <f t="shared" si="4"/>
        <v>218</v>
      </c>
      <c r="B219" s="5" t="s">
        <v>211</v>
      </c>
      <c r="C219" s="5" t="s">
        <v>676</v>
      </c>
      <c r="D219" s="5" t="s">
        <v>212</v>
      </c>
      <c r="E219" s="5" t="s">
        <v>508</v>
      </c>
      <c r="F219" s="4" t="s">
        <v>302</v>
      </c>
      <c r="G219" s="5"/>
      <c r="H219" s="6">
        <v>-0.37968749999999901</v>
      </c>
      <c r="I219" s="6">
        <v>-1.7578125E-2</v>
      </c>
      <c r="J219" s="23" t="e">
        <f>IF(#REF!&lt;&gt;0,3/#REF!,"N/A")</f>
        <v>#REF!</v>
      </c>
      <c r="K219" s="5"/>
      <c r="L219" s="5" t="s">
        <v>638</v>
      </c>
    </row>
    <row r="220" spans="1:12" x14ac:dyDescent="0.45">
      <c r="A220" s="2">
        <f t="shared" si="4"/>
        <v>219</v>
      </c>
      <c r="B220" t="s">
        <v>211</v>
      </c>
      <c r="C220" t="s">
        <v>676</v>
      </c>
      <c r="D220" t="s">
        <v>213</v>
      </c>
      <c r="E220" t="s">
        <v>509</v>
      </c>
      <c r="F220" s="2" t="s">
        <v>302</v>
      </c>
      <c r="G220" s="15" t="s">
        <v>355</v>
      </c>
      <c r="H220" s="20">
        <v>-0.24257812499999901</v>
      </c>
      <c r="I220" s="20">
        <v>-3.5156249999999901E-3</v>
      </c>
      <c r="J220" s="13" t="e">
        <f>IF(#REF!&lt;&gt;0,3/#REF!,"N/A")</f>
        <v>#REF!</v>
      </c>
      <c r="L220" t="s">
        <v>638</v>
      </c>
    </row>
    <row r="221" spans="1:12" ht="14.65" thickBot="1" x14ac:dyDescent="0.5">
      <c r="A221" s="2">
        <f t="shared" si="4"/>
        <v>220</v>
      </c>
      <c r="B221" t="s">
        <v>211</v>
      </c>
      <c r="C221" t="s">
        <v>676</v>
      </c>
      <c r="D221" t="s">
        <v>214</v>
      </c>
      <c r="E221" t="s">
        <v>510</v>
      </c>
      <c r="F221" s="2" t="s">
        <v>302</v>
      </c>
      <c r="G221" t="s">
        <v>353</v>
      </c>
      <c r="H221" s="6">
        <v>0</v>
      </c>
      <c r="I221" s="6">
        <v>0</v>
      </c>
      <c r="J221" s="13" t="e">
        <f>IF(#REF!&lt;&gt;0,3/#REF!,"N/A")</f>
        <v>#REF!</v>
      </c>
      <c r="L221" t="s">
        <v>638</v>
      </c>
    </row>
    <row r="222" spans="1:12" x14ac:dyDescent="0.45">
      <c r="A222" s="2">
        <f t="shared" si="4"/>
        <v>221</v>
      </c>
      <c r="B222" s="15" t="s">
        <v>211</v>
      </c>
      <c r="C222" s="15" t="s">
        <v>676</v>
      </c>
      <c r="D222" s="15" t="s">
        <v>215</v>
      </c>
      <c r="E222" s="15" t="s">
        <v>511</v>
      </c>
      <c r="F222" s="7" t="s">
        <v>302</v>
      </c>
      <c r="G222" s="15"/>
      <c r="H222" s="20">
        <v>-0.16662704558133701</v>
      </c>
      <c r="I222" s="20">
        <v>6.5052130349130199E-19</v>
      </c>
      <c r="J222" s="24" t="e">
        <f>IF(#REF!&lt;&gt;0,3/#REF!,"N/A")</f>
        <v>#REF!</v>
      </c>
      <c r="K222" s="15"/>
      <c r="L222" s="15" t="s">
        <v>638</v>
      </c>
    </row>
    <row r="223" spans="1:12" ht="14.65" thickBot="1" x14ac:dyDescent="0.5">
      <c r="A223" s="2">
        <f t="shared" si="4"/>
        <v>222</v>
      </c>
      <c r="B223" s="5" t="s">
        <v>216</v>
      </c>
      <c r="C223" s="22" t="s">
        <v>677</v>
      </c>
      <c r="D223" s="5" t="s">
        <v>217</v>
      </c>
      <c r="E223" s="5" t="s">
        <v>512</v>
      </c>
      <c r="F223" s="4" t="s">
        <v>302</v>
      </c>
      <c r="G223" s="5"/>
      <c r="H223" s="6">
        <v>-8.8863350609925396E-2</v>
      </c>
      <c r="I223" s="6">
        <v>-2.49544228749192E-2</v>
      </c>
      <c r="J223" s="23" t="e">
        <f>IF(#REF!&lt;&gt;0,3/#REF!,"N/A")</f>
        <v>#REF!</v>
      </c>
      <c r="K223" s="5"/>
      <c r="L223" s="22" t="s">
        <v>638</v>
      </c>
    </row>
    <row r="224" spans="1:12" x14ac:dyDescent="0.45">
      <c r="A224" s="2">
        <f t="shared" si="4"/>
        <v>223</v>
      </c>
      <c r="B224" s="15" t="s">
        <v>216</v>
      </c>
      <c r="C224" s="21" t="s">
        <v>677</v>
      </c>
      <c r="D224" s="15" t="s">
        <v>218</v>
      </c>
      <c r="E224" s="15" t="s">
        <v>513</v>
      </c>
      <c r="F224" s="7" t="s">
        <v>302</v>
      </c>
      <c r="G224" s="15"/>
      <c r="H224" s="20">
        <v>0</v>
      </c>
      <c r="I224" s="20">
        <v>0</v>
      </c>
      <c r="J224" s="24" t="e">
        <f>IF(#REF!&lt;&gt;0,3/#REF!,"N/A")</f>
        <v>#REF!</v>
      </c>
      <c r="K224" s="15"/>
      <c r="L224" s="21" t="s">
        <v>638</v>
      </c>
    </row>
    <row r="225" spans="1:12" x14ac:dyDescent="0.45">
      <c r="A225" s="2">
        <f t="shared" si="4"/>
        <v>224</v>
      </c>
      <c r="B225" t="s">
        <v>216</v>
      </c>
      <c r="C225" s="21" t="s">
        <v>677</v>
      </c>
      <c r="D225" t="s">
        <v>221</v>
      </c>
      <c r="E225" t="s">
        <v>516</v>
      </c>
      <c r="F225" s="2" t="s">
        <v>302</v>
      </c>
      <c r="H225" s="3">
        <v>0</v>
      </c>
      <c r="I225" s="3">
        <v>0</v>
      </c>
      <c r="J225" s="13" t="e">
        <f>IF(#REF!&lt;&gt;0,3/#REF!,"N/A")</f>
        <v>#REF!</v>
      </c>
      <c r="L225" s="21" t="s">
        <v>638</v>
      </c>
    </row>
    <row r="226" spans="1:12" x14ac:dyDescent="0.45">
      <c r="A226" s="2">
        <f t="shared" si="4"/>
        <v>225</v>
      </c>
      <c r="B226" t="s">
        <v>216</v>
      </c>
      <c r="C226" s="21" t="s">
        <v>677</v>
      </c>
      <c r="D226" t="s">
        <v>219</v>
      </c>
      <c r="E226" t="s">
        <v>514</v>
      </c>
      <c r="F226" s="2" t="s">
        <v>302</v>
      </c>
      <c r="H226" s="3">
        <v>0</v>
      </c>
      <c r="I226" s="3">
        <v>0</v>
      </c>
      <c r="J226" s="13" t="e">
        <f>IF(#REF!&lt;&gt;0,3/#REF!,"N/A")</f>
        <v>#REF!</v>
      </c>
      <c r="L226" s="21" t="s">
        <v>638</v>
      </c>
    </row>
    <row r="227" spans="1:12" x14ac:dyDescent="0.45">
      <c r="A227" s="2">
        <f t="shared" si="4"/>
        <v>226</v>
      </c>
      <c r="B227" t="s">
        <v>216</v>
      </c>
      <c r="C227" s="21" t="s">
        <v>677</v>
      </c>
      <c r="D227" t="s">
        <v>220</v>
      </c>
      <c r="E227" t="s">
        <v>515</v>
      </c>
      <c r="F227" s="2" t="s">
        <v>302</v>
      </c>
      <c r="H227" s="3">
        <v>0</v>
      </c>
      <c r="I227" s="3">
        <v>0</v>
      </c>
      <c r="J227" s="13" t="e">
        <f>IF(#REF!&lt;&gt;0,3/#REF!,"N/A")</f>
        <v>#REF!</v>
      </c>
      <c r="L227" s="21" t="s">
        <v>638</v>
      </c>
    </row>
    <row r="228" spans="1:12" x14ac:dyDescent="0.45">
      <c r="A228" s="2">
        <f t="shared" si="4"/>
        <v>227</v>
      </c>
      <c r="B228" t="s">
        <v>216</v>
      </c>
      <c r="C228" s="21" t="s">
        <v>677</v>
      </c>
      <c r="D228" t="s">
        <v>222</v>
      </c>
      <c r="E228" t="s">
        <v>517</v>
      </c>
      <c r="F228" s="2" t="s">
        <v>302</v>
      </c>
      <c r="H228" s="3">
        <v>0</v>
      </c>
      <c r="I228" s="3">
        <v>0</v>
      </c>
      <c r="J228" s="13" t="e">
        <f>IF(#REF!&lt;&gt;0,3/#REF!,"N/A")</f>
        <v>#REF!</v>
      </c>
      <c r="L228" s="21" t="s">
        <v>638</v>
      </c>
    </row>
    <row r="229" spans="1:12" x14ac:dyDescent="0.45">
      <c r="A229" s="2">
        <f t="shared" si="4"/>
        <v>228</v>
      </c>
      <c r="B229" t="s">
        <v>216</v>
      </c>
      <c r="C229" t="s">
        <v>677</v>
      </c>
      <c r="D229" t="s">
        <v>223</v>
      </c>
      <c r="E229" t="s">
        <v>518</v>
      </c>
      <c r="F229" s="2" t="s">
        <v>302</v>
      </c>
      <c r="H229" s="3">
        <v>-0.251953125</v>
      </c>
      <c r="I229" s="3">
        <v>-8.7890625E-3</v>
      </c>
      <c r="J229" s="13" t="e">
        <f>IF(#REF!&lt;&gt;0,3/#REF!,"N/A")</f>
        <v>#REF!</v>
      </c>
      <c r="L229" t="s">
        <v>638</v>
      </c>
    </row>
    <row r="230" spans="1:12" x14ac:dyDescent="0.45">
      <c r="A230" s="2">
        <f t="shared" si="4"/>
        <v>229</v>
      </c>
      <c r="B230" t="s">
        <v>216</v>
      </c>
      <c r="C230" t="s">
        <v>677</v>
      </c>
      <c r="D230" t="s">
        <v>224</v>
      </c>
      <c r="E230" t="s">
        <v>519</v>
      </c>
      <c r="F230" s="2" t="s">
        <v>302</v>
      </c>
      <c r="G230" t="s">
        <v>341</v>
      </c>
      <c r="H230" s="3">
        <v>-0.15487041477869101</v>
      </c>
      <c r="I230" s="3">
        <v>-1.36663693622268E-2</v>
      </c>
      <c r="J230" s="13" t="e">
        <f>IF(#REF!&lt;&gt;0,3/#REF!,"N/A")</f>
        <v>#REF!</v>
      </c>
      <c r="L230" t="s">
        <v>638</v>
      </c>
    </row>
    <row r="231" spans="1:12" x14ac:dyDescent="0.45">
      <c r="A231" s="2">
        <f t="shared" si="4"/>
        <v>230</v>
      </c>
      <c r="B231" t="s">
        <v>216</v>
      </c>
      <c r="C231" t="s">
        <v>677</v>
      </c>
      <c r="D231" t="s">
        <v>225</v>
      </c>
      <c r="E231" t="s">
        <v>520</v>
      </c>
      <c r="F231" s="2" t="s">
        <v>302</v>
      </c>
      <c r="H231" s="3">
        <v>-0.1787109375</v>
      </c>
      <c r="I231" s="3">
        <v>1.46484375E-3</v>
      </c>
      <c r="J231" s="13" t="e">
        <f>IF(#REF!&lt;&gt;0,3/#REF!,"N/A")</f>
        <v>#REF!</v>
      </c>
      <c r="L231" t="s">
        <v>638</v>
      </c>
    </row>
    <row r="232" spans="1:12" x14ac:dyDescent="0.45">
      <c r="A232" s="2">
        <f t="shared" si="4"/>
        <v>231</v>
      </c>
      <c r="B232" s="15" t="s">
        <v>216</v>
      </c>
      <c r="C232" s="15" t="s">
        <v>677</v>
      </c>
      <c r="D232" s="15" t="s">
        <v>226</v>
      </c>
      <c r="E232" s="15" t="s">
        <v>521</v>
      </c>
      <c r="F232" s="7" t="s">
        <v>302</v>
      </c>
      <c r="G232" s="15"/>
      <c r="H232" s="20">
        <v>-0.34130859375</v>
      </c>
      <c r="I232" s="20">
        <v>-1.46484375E-3</v>
      </c>
      <c r="J232" s="24" t="e">
        <f>IF(#REF!&lt;&gt;0,3/#REF!,"N/A")</f>
        <v>#REF!</v>
      </c>
      <c r="K232" s="15"/>
      <c r="L232" s="15" t="s">
        <v>638</v>
      </c>
    </row>
    <row r="233" spans="1:12" ht="14.65" thickBot="1" x14ac:dyDescent="0.5">
      <c r="A233" s="2">
        <f t="shared" si="4"/>
        <v>232</v>
      </c>
      <c r="B233" s="5" t="s">
        <v>227</v>
      </c>
      <c r="C233" s="5" t="s">
        <v>678</v>
      </c>
      <c r="D233" s="5" t="s">
        <v>228</v>
      </c>
      <c r="E233" s="5" t="s">
        <v>597</v>
      </c>
      <c r="F233" s="4" t="s">
        <v>302</v>
      </c>
      <c r="G233" s="5"/>
      <c r="H233" s="6">
        <v>-0.18535125895255999</v>
      </c>
      <c r="I233" s="6">
        <v>1.5132638679150301E-2</v>
      </c>
      <c r="J233" s="23" t="e">
        <f>IF(#REF!&lt;&gt;0,3/#REF!,"N/A")</f>
        <v>#REF!</v>
      </c>
      <c r="K233" s="5"/>
      <c r="L233" s="5" t="s">
        <v>638</v>
      </c>
    </row>
    <row r="234" spans="1:12" x14ac:dyDescent="0.45">
      <c r="A234" s="2">
        <f t="shared" si="4"/>
        <v>233</v>
      </c>
      <c r="B234" t="s">
        <v>227</v>
      </c>
      <c r="C234" t="s">
        <v>678</v>
      </c>
      <c r="D234" t="s">
        <v>229</v>
      </c>
      <c r="E234" t="s">
        <v>522</v>
      </c>
      <c r="F234" s="2" t="s">
        <v>302</v>
      </c>
      <c r="H234" s="3">
        <v>0</v>
      </c>
      <c r="I234" s="3">
        <v>0</v>
      </c>
      <c r="J234" s="13" t="e">
        <f>IF(#REF!&lt;&gt;0,3/#REF!,"N/A")</f>
        <v>#REF!</v>
      </c>
      <c r="L234" t="s">
        <v>638</v>
      </c>
    </row>
    <row r="235" spans="1:12" x14ac:dyDescent="0.45">
      <c r="A235" s="2">
        <f t="shared" ref="A235:A298" si="5">A234+1</f>
        <v>234</v>
      </c>
      <c r="B235" t="s">
        <v>227</v>
      </c>
      <c r="C235" t="s">
        <v>678</v>
      </c>
      <c r="D235" t="s">
        <v>231</v>
      </c>
      <c r="E235" t="s">
        <v>599</v>
      </c>
      <c r="F235" s="2" t="s">
        <v>302</v>
      </c>
      <c r="H235" s="3">
        <v>-0.16611516952966299</v>
      </c>
      <c r="I235" s="3">
        <v>6.6816265541818395E-2</v>
      </c>
      <c r="J235" s="13" t="e">
        <f>IF(#REF!&lt;&gt;0,3/#REF!,"N/A")</f>
        <v>#REF!</v>
      </c>
      <c r="L235" t="s">
        <v>638</v>
      </c>
    </row>
    <row r="236" spans="1:12" x14ac:dyDescent="0.45">
      <c r="A236" s="2">
        <f t="shared" si="5"/>
        <v>235</v>
      </c>
      <c r="B236" t="s">
        <v>227</v>
      </c>
      <c r="C236" t="s">
        <v>678</v>
      </c>
      <c r="D236" t="s">
        <v>232</v>
      </c>
      <c r="E236" t="s">
        <v>523</v>
      </c>
      <c r="F236" s="2" t="s">
        <v>302</v>
      </c>
      <c r="H236" s="3">
        <v>0.6</v>
      </c>
      <c r="I236" s="3">
        <v>0</v>
      </c>
      <c r="J236" s="13" t="e">
        <f>IF(#REF!&lt;&gt;0,3/#REF!,"N/A")</f>
        <v>#REF!</v>
      </c>
      <c r="L236" t="s">
        <v>638</v>
      </c>
    </row>
    <row r="237" spans="1:12" x14ac:dyDescent="0.45">
      <c r="A237" s="2">
        <f t="shared" si="5"/>
        <v>236</v>
      </c>
      <c r="B237" t="s">
        <v>227</v>
      </c>
      <c r="C237" t="s">
        <v>678</v>
      </c>
      <c r="D237" t="s">
        <v>233</v>
      </c>
      <c r="E237" t="s">
        <v>524</v>
      </c>
      <c r="F237" s="2" t="s">
        <v>302</v>
      </c>
      <c r="H237" s="3">
        <v>-0.19383352385890201</v>
      </c>
      <c r="I237" s="3">
        <v>3.4005881378754801E-3</v>
      </c>
      <c r="J237" s="13" t="e">
        <f>IF(#REF!&lt;&gt;0,3/#REF!,"N/A")</f>
        <v>#REF!</v>
      </c>
      <c r="L237" t="s">
        <v>638</v>
      </c>
    </row>
    <row r="238" spans="1:12" x14ac:dyDescent="0.45">
      <c r="A238" s="2">
        <f t="shared" si="5"/>
        <v>237</v>
      </c>
      <c r="B238" t="s">
        <v>227</v>
      </c>
      <c r="C238" t="s">
        <v>678</v>
      </c>
      <c r="D238" t="s">
        <v>230</v>
      </c>
      <c r="E238" t="s">
        <v>598</v>
      </c>
      <c r="F238" s="2" t="s">
        <v>302</v>
      </c>
      <c r="H238" s="3">
        <v>0</v>
      </c>
      <c r="I238" s="3">
        <v>0</v>
      </c>
      <c r="J238" s="13" t="e">
        <f>IF(#REF!&lt;&gt;0,3/#REF!,"N/A")</f>
        <v>#REF!</v>
      </c>
      <c r="L238" t="s">
        <v>638</v>
      </c>
    </row>
    <row r="239" spans="1:12" x14ac:dyDescent="0.45">
      <c r="A239" s="2">
        <f t="shared" si="5"/>
        <v>238</v>
      </c>
      <c r="B239" s="15" t="s">
        <v>227</v>
      </c>
      <c r="C239" s="15" t="s">
        <v>678</v>
      </c>
      <c r="D239" s="15" t="s">
        <v>234</v>
      </c>
      <c r="E239" s="15" t="s">
        <v>600</v>
      </c>
      <c r="F239" s="7" t="s">
        <v>302</v>
      </c>
      <c r="G239" s="15"/>
      <c r="H239" s="20"/>
      <c r="I239" s="20"/>
      <c r="J239" s="24" t="e">
        <f>IF(#REF!&lt;&gt;0,3/#REF!,"N/A")</f>
        <v>#REF!</v>
      </c>
      <c r="K239" s="15"/>
      <c r="L239" s="15" t="s">
        <v>638</v>
      </c>
    </row>
    <row r="240" spans="1:12" x14ac:dyDescent="0.45">
      <c r="A240" s="2">
        <f t="shared" si="5"/>
        <v>239</v>
      </c>
      <c r="B240" s="15" t="s">
        <v>227</v>
      </c>
      <c r="C240" s="15" t="s">
        <v>678</v>
      </c>
      <c r="D240" s="15" t="s">
        <v>235</v>
      </c>
      <c r="E240" s="15" t="s">
        <v>601</v>
      </c>
      <c r="F240" s="7" t="s">
        <v>302</v>
      </c>
      <c r="G240" s="15"/>
      <c r="H240" s="20">
        <v>0</v>
      </c>
      <c r="I240" s="20">
        <v>0</v>
      </c>
      <c r="J240" s="24" t="e">
        <f>IF(#REF!&lt;&gt;0,3/#REF!,"N/A")</f>
        <v>#REF!</v>
      </c>
      <c r="K240" s="15"/>
      <c r="L240" s="15" t="s">
        <v>638</v>
      </c>
    </row>
    <row r="241" spans="1:12" ht="14.65" thickBot="1" x14ac:dyDescent="0.5">
      <c r="A241" s="2">
        <f t="shared" si="5"/>
        <v>240</v>
      </c>
      <c r="B241" s="5" t="s">
        <v>304</v>
      </c>
      <c r="C241" s="5" t="s">
        <v>680</v>
      </c>
      <c r="D241" s="5" t="s">
        <v>236</v>
      </c>
      <c r="E241" s="5" t="s">
        <v>236</v>
      </c>
      <c r="F241" s="4" t="s">
        <v>302</v>
      </c>
      <c r="G241" s="5"/>
      <c r="H241" s="6">
        <v>-0.57070312499999998</v>
      </c>
      <c r="I241" s="6">
        <v>2.6953124999999901E-2</v>
      </c>
      <c r="J241" s="23" t="e">
        <f>IF(#REF!&lt;&gt;0,3/#REF!,"N/A")</f>
        <v>#REF!</v>
      </c>
      <c r="K241" s="5"/>
      <c r="L241" s="5" t="s">
        <v>638</v>
      </c>
    </row>
    <row r="242" spans="1:12" x14ac:dyDescent="0.45">
      <c r="A242" s="2">
        <f t="shared" si="5"/>
        <v>241</v>
      </c>
      <c r="B242" t="s">
        <v>304</v>
      </c>
      <c r="C242" t="s">
        <v>680</v>
      </c>
      <c r="D242" t="s">
        <v>237</v>
      </c>
      <c r="E242" t="s">
        <v>525</v>
      </c>
      <c r="F242" s="2" t="s">
        <v>302</v>
      </c>
      <c r="H242" s="3">
        <v>0</v>
      </c>
      <c r="I242" s="3">
        <v>0</v>
      </c>
      <c r="J242" s="13" t="e">
        <f>IF(#REF!&lt;&gt;0,3/#REF!,"N/A")</f>
        <v>#REF!</v>
      </c>
      <c r="L242" t="s">
        <v>638</v>
      </c>
    </row>
    <row r="243" spans="1:12" x14ac:dyDescent="0.45">
      <c r="A243" s="2">
        <f t="shared" si="5"/>
        <v>242</v>
      </c>
      <c r="B243" t="s">
        <v>304</v>
      </c>
      <c r="C243" t="s">
        <v>680</v>
      </c>
      <c r="D243" t="s">
        <v>311</v>
      </c>
      <c r="E243" t="s">
        <v>603</v>
      </c>
      <c r="F243" s="2" t="s">
        <v>302</v>
      </c>
      <c r="H243" s="3">
        <v>0</v>
      </c>
      <c r="I243" s="3">
        <v>0</v>
      </c>
      <c r="J243" s="13" t="e">
        <f>IF(#REF!&lt;&gt;0,3/#REF!,"N/A")</f>
        <v>#REF!</v>
      </c>
      <c r="L243" t="s">
        <v>638</v>
      </c>
    </row>
    <row r="244" spans="1:12" x14ac:dyDescent="0.45">
      <c r="A244" s="2">
        <f t="shared" si="5"/>
        <v>243</v>
      </c>
      <c r="B244" t="s">
        <v>304</v>
      </c>
      <c r="C244" t="s">
        <v>680</v>
      </c>
      <c r="D244" t="s">
        <v>312</v>
      </c>
      <c r="E244" t="s">
        <v>604</v>
      </c>
      <c r="F244" s="2" t="s">
        <v>302</v>
      </c>
      <c r="H244" s="3">
        <v>0</v>
      </c>
      <c r="I244" s="3">
        <v>0</v>
      </c>
      <c r="J244" s="13" t="e">
        <f>IF(#REF!&lt;&gt;0,3/#REF!,"N/A")</f>
        <v>#REF!</v>
      </c>
      <c r="L244" t="s">
        <v>638</v>
      </c>
    </row>
    <row r="245" spans="1:12" x14ac:dyDescent="0.45">
      <c r="A245" s="2">
        <f t="shared" si="5"/>
        <v>244</v>
      </c>
      <c r="B245" t="s">
        <v>304</v>
      </c>
      <c r="C245" t="s">
        <v>680</v>
      </c>
      <c r="D245" t="s">
        <v>238</v>
      </c>
      <c r="E245" t="s">
        <v>602</v>
      </c>
      <c r="F245" s="2" t="s">
        <v>302</v>
      </c>
      <c r="H245" s="3">
        <v>0</v>
      </c>
      <c r="I245" s="3">
        <v>0</v>
      </c>
      <c r="J245" s="13" t="e">
        <f>IF(#REF!&lt;&gt;0,3/#REF!,"N/A")</f>
        <v>#REF!</v>
      </c>
      <c r="L245" t="s">
        <v>638</v>
      </c>
    </row>
    <row r="246" spans="1:12" x14ac:dyDescent="0.45">
      <c r="A246" s="2">
        <f t="shared" si="5"/>
        <v>245</v>
      </c>
      <c r="B246" t="s">
        <v>304</v>
      </c>
      <c r="C246" t="s">
        <v>680</v>
      </c>
      <c r="D246" t="s">
        <v>239</v>
      </c>
      <c r="E246" t="s">
        <v>605</v>
      </c>
      <c r="F246" s="2" t="s">
        <v>302</v>
      </c>
      <c r="H246" s="3">
        <v>-0.168898568184977</v>
      </c>
      <c r="I246" s="3">
        <v>2.1546730920717301E-2</v>
      </c>
      <c r="J246" s="13" t="e">
        <f>IF(#REF!&lt;&gt;0,3/#REF!,"N/A")</f>
        <v>#REF!</v>
      </c>
      <c r="L246" t="s">
        <v>638</v>
      </c>
    </row>
    <row r="247" spans="1:12" x14ac:dyDescent="0.45">
      <c r="A247" s="2">
        <f t="shared" si="5"/>
        <v>246</v>
      </c>
      <c r="B247" t="s">
        <v>304</v>
      </c>
      <c r="C247" t="s">
        <v>680</v>
      </c>
      <c r="D247" t="s">
        <v>240</v>
      </c>
      <c r="E247" t="s">
        <v>526</v>
      </c>
      <c r="F247" s="2" t="s">
        <v>302</v>
      </c>
      <c r="H247" s="3">
        <v>0</v>
      </c>
      <c r="I247" s="3">
        <v>0</v>
      </c>
      <c r="J247" s="13" t="e">
        <f>IF(#REF!&lt;&gt;0,3/#REF!,"N/A")</f>
        <v>#REF!</v>
      </c>
      <c r="L247" t="s">
        <v>638</v>
      </c>
    </row>
    <row r="248" spans="1:12" x14ac:dyDescent="0.45">
      <c r="A248" s="2">
        <f t="shared" si="5"/>
        <v>247</v>
      </c>
      <c r="B248" s="15" t="s">
        <v>304</v>
      </c>
      <c r="C248" s="15" t="s">
        <v>680</v>
      </c>
      <c r="D248" s="15" t="s">
        <v>241</v>
      </c>
      <c r="E248" s="15" t="s">
        <v>606</v>
      </c>
      <c r="F248" s="7" t="s">
        <v>302</v>
      </c>
      <c r="G248" s="15"/>
      <c r="H248" s="20">
        <v>0</v>
      </c>
      <c r="I248" s="20">
        <v>0</v>
      </c>
      <c r="J248" s="24" t="e">
        <f>IF(#REF!&lt;&gt;0,3/#REF!,"N/A")</f>
        <v>#REF!</v>
      </c>
      <c r="K248" s="15"/>
      <c r="L248" s="15" t="s">
        <v>638</v>
      </c>
    </row>
    <row r="249" spans="1:12" ht="14.65" thickBot="1" x14ac:dyDescent="0.5">
      <c r="A249" s="2">
        <f t="shared" si="5"/>
        <v>248</v>
      </c>
      <c r="B249" s="5" t="s">
        <v>250</v>
      </c>
      <c r="C249" s="5" t="s">
        <v>682</v>
      </c>
      <c r="D249" s="5" t="s">
        <v>318</v>
      </c>
      <c r="E249" s="5" t="s">
        <v>607</v>
      </c>
      <c r="F249" s="4" t="s">
        <v>302</v>
      </c>
      <c r="G249" s="5"/>
      <c r="H249" s="6">
        <v>0</v>
      </c>
      <c r="I249" s="6">
        <v>0</v>
      </c>
      <c r="J249" s="23" t="e">
        <f>IF(#REF!&lt;&gt;0,3/#REF!,"N/A")</f>
        <v>#REF!</v>
      </c>
      <c r="K249" s="5"/>
      <c r="L249" s="5" t="s">
        <v>638</v>
      </c>
    </row>
    <row r="250" spans="1:12" x14ac:dyDescent="0.45">
      <c r="A250" s="2">
        <f t="shared" si="5"/>
        <v>249</v>
      </c>
      <c r="B250" t="s">
        <v>250</v>
      </c>
      <c r="C250" t="s">
        <v>682</v>
      </c>
      <c r="D250" t="s">
        <v>319</v>
      </c>
      <c r="E250" t="s">
        <v>608</v>
      </c>
      <c r="F250" s="2" t="s">
        <v>302</v>
      </c>
      <c r="H250" s="3">
        <v>-2.3551547802465</v>
      </c>
      <c r="I250" s="3">
        <v>1.49625973078175E-2</v>
      </c>
      <c r="J250" s="13" t="e">
        <f>IF(#REF!&lt;&gt;0,3/#REF!,"N/A")</f>
        <v>#REF!</v>
      </c>
      <c r="L250" t="s">
        <v>638</v>
      </c>
    </row>
    <row r="251" spans="1:12" x14ac:dyDescent="0.45">
      <c r="A251" s="2">
        <f t="shared" si="5"/>
        <v>250</v>
      </c>
      <c r="B251" t="s">
        <v>250</v>
      </c>
      <c r="C251" t="s">
        <v>682</v>
      </c>
      <c r="D251" t="s">
        <v>320</v>
      </c>
      <c r="E251" t="s">
        <v>609</v>
      </c>
      <c r="F251" s="2" t="s">
        <v>302</v>
      </c>
      <c r="H251" s="3">
        <v>0</v>
      </c>
      <c r="I251" s="3">
        <v>0</v>
      </c>
      <c r="J251" s="13" t="e">
        <f>IF(#REF!&lt;&gt;0,3/#REF!,"N/A")</f>
        <v>#REF!</v>
      </c>
      <c r="L251" t="s">
        <v>638</v>
      </c>
    </row>
    <row r="252" spans="1:12" x14ac:dyDescent="0.45">
      <c r="A252" s="2">
        <f t="shared" si="5"/>
        <v>251</v>
      </c>
      <c r="B252" s="15" t="s">
        <v>250</v>
      </c>
      <c r="C252" s="15" t="s">
        <v>682</v>
      </c>
      <c r="D252" s="15" t="s">
        <v>321</v>
      </c>
      <c r="E252" s="15" t="s">
        <v>610</v>
      </c>
      <c r="F252" s="7" t="s">
        <v>302</v>
      </c>
      <c r="G252" s="15"/>
      <c r="H252" s="20">
        <v>0</v>
      </c>
      <c r="I252" s="20">
        <v>0</v>
      </c>
      <c r="J252" s="24" t="e">
        <f>IF(#REF!&lt;&gt;0,3/#REF!,"N/A")</f>
        <v>#REF!</v>
      </c>
      <c r="K252" s="15"/>
      <c r="L252" s="15" t="s">
        <v>638</v>
      </c>
    </row>
    <row r="253" spans="1:12" x14ac:dyDescent="0.45">
      <c r="A253" s="2">
        <f t="shared" si="5"/>
        <v>252</v>
      </c>
      <c r="B253" t="s">
        <v>250</v>
      </c>
      <c r="C253" t="s">
        <v>682</v>
      </c>
      <c r="D253" t="s">
        <v>322</v>
      </c>
      <c r="E253" t="s">
        <v>611</v>
      </c>
      <c r="F253" s="2" t="s">
        <v>302</v>
      </c>
      <c r="H253" s="3">
        <v>0</v>
      </c>
      <c r="I253" s="3">
        <v>0</v>
      </c>
      <c r="J253" s="13" t="e">
        <f>IF(#REF!&lt;&gt;0,3/#REF!,"N/A")</f>
        <v>#REF!</v>
      </c>
      <c r="L253" t="s">
        <v>638</v>
      </c>
    </row>
    <row r="254" spans="1:12" x14ac:dyDescent="0.45">
      <c r="A254" s="2">
        <f t="shared" si="5"/>
        <v>253</v>
      </c>
      <c r="B254" s="15" t="s">
        <v>250</v>
      </c>
      <c r="C254" s="15" t="s">
        <v>682</v>
      </c>
      <c r="D254" s="15" t="s">
        <v>325</v>
      </c>
      <c r="E254" s="15" t="s">
        <v>614</v>
      </c>
      <c r="F254" s="7" t="s">
        <v>302</v>
      </c>
      <c r="G254" s="15"/>
      <c r="H254" s="20">
        <v>9.1841731880125899E-2</v>
      </c>
      <c r="I254" s="20">
        <v>-0.17277720945686001</v>
      </c>
      <c r="J254" s="24" t="e">
        <f>IF(#REF!&lt;&gt;0,3/#REF!,"N/A")</f>
        <v>#REF!</v>
      </c>
      <c r="K254" s="15"/>
      <c r="L254" s="15" t="s">
        <v>638</v>
      </c>
    </row>
    <row r="255" spans="1:12" x14ac:dyDescent="0.45">
      <c r="A255" s="2">
        <f t="shared" si="5"/>
        <v>254</v>
      </c>
      <c r="B255" s="15" t="s">
        <v>250</v>
      </c>
      <c r="C255" s="15" t="s">
        <v>682</v>
      </c>
      <c r="D255" s="15" t="s">
        <v>323</v>
      </c>
      <c r="E255" s="15" t="s">
        <v>612</v>
      </c>
      <c r="F255" s="7" t="s">
        <v>302</v>
      </c>
      <c r="G255" s="15"/>
      <c r="H255" s="20">
        <v>4.0254603399433702</v>
      </c>
      <c r="I255" s="20">
        <v>0.144673630783757</v>
      </c>
      <c r="J255" s="24" t="e">
        <f>IF(#REF!&lt;&gt;0,3/#REF!,"N/A")</f>
        <v>#REF!</v>
      </c>
      <c r="K255" s="15"/>
      <c r="L255" s="15" t="s">
        <v>638</v>
      </c>
    </row>
    <row r="256" spans="1:12" x14ac:dyDescent="0.45">
      <c r="A256" s="2">
        <f t="shared" si="5"/>
        <v>255</v>
      </c>
      <c r="B256" t="s">
        <v>250</v>
      </c>
      <c r="C256" t="s">
        <v>682</v>
      </c>
      <c r="D256" t="s">
        <v>324</v>
      </c>
      <c r="E256" t="s">
        <v>613</v>
      </c>
      <c r="F256" s="2" t="s">
        <v>302</v>
      </c>
      <c r="H256" s="3">
        <v>-6.2910553801410293E-2</v>
      </c>
      <c r="I256" s="3">
        <v>-0.133920889728255</v>
      </c>
      <c r="J256" s="13" t="e">
        <f>IF(#REF!&lt;&gt;0,3/#REF!,"N/A")</f>
        <v>#REF!</v>
      </c>
      <c r="L256" t="s">
        <v>638</v>
      </c>
    </row>
    <row r="257" spans="1:12" ht="14.65" thickBot="1" x14ac:dyDescent="0.5">
      <c r="A257" s="2">
        <f t="shared" si="5"/>
        <v>256</v>
      </c>
      <c r="B257" s="5" t="s">
        <v>251</v>
      </c>
      <c r="C257" s="5" t="s">
        <v>684</v>
      </c>
      <c r="D257" s="5" t="s">
        <v>253</v>
      </c>
      <c r="E257" s="5" t="s">
        <v>253</v>
      </c>
      <c r="F257" s="4" t="s">
        <v>302</v>
      </c>
      <c r="G257" s="5" t="s">
        <v>354</v>
      </c>
      <c r="H257" s="6">
        <v>-0.33226284584980198</v>
      </c>
      <c r="I257" s="6">
        <v>2.5321146245059298E-2</v>
      </c>
      <c r="J257" s="23" t="e">
        <f>IF(#REF!&lt;&gt;0,3/#REF!,"N/A")</f>
        <v>#REF!</v>
      </c>
      <c r="K257" s="5"/>
      <c r="L257" s="5" t="s">
        <v>638</v>
      </c>
    </row>
    <row r="258" spans="1:12" x14ac:dyDescent="0.45">
      <c r="A258" s="2">
        <f t="shared" si="5"/>
        <v>257</v>
      </c>
      <c r="B258" t="s">
        <v>251</v>
      </c>
      <c r="C258" t="s">
        <v>684</v>
      </c>
      <c r="D258" t="s">
        <v>254</v>
      </c>
      <c r="E258" t="s">
        <v>527</v>
      </c>
      <c r="F258" s="2" t="s">
        <v>302</v>
      </c>
      <c r="H258" s="3">
        <v>0.38923542490118201</v>
      </c>
      <c r="I258" s="3">
        <v>-0.43648097826086701</v>
      </c>
      <c r="J258" s="13" t="e">
        <f>IF(#REF!&lt;&gt;0,3/#REF!,"N/A")</f>
        <v>#REF!</v>
      </c>
      <c r="L258" t="s">
        <v>638</v>
      </c>
    </row>
    <row r="259" spans="1:12" x14ac:dyDescent="0.45">
      <c r="A259" s="2">
        <f t="shared" si="5"/>
        <v>258</v>
      </c>
      <c r="B259" s="15" t="s">
        <v>251</v>
      </c>
      <c r="C259" s="15" t="s">
        <v>684</v>
      </c>
      <c r="D259" s="15" t="s">
        <v>252</v>
      </c>
      <c r="E259" s="15" t="s">
        <v>615</v>
      </c>
      <c r="F259" s="7" t="s">
        <v>302</v>
      </c>
      <c r="G259" s="15"/>
      <c r="H259" s="20"/>
      <c r="I259" s="20"/>
      <c r="J259" s="24" t="e">
        <f>IF(#REF!&lt;&gt;0,3/#REF!,"N/A")</f>
        <v>#REF!</v>
      </c>
      <c r="K259" s="15"/>
      <c r="L259" s="15" t="s">
        <v>638</v>
      </c>
    </row>
    <row r="260" spans="1:12" x14ac:dyDescent="0.45">
      <c r="A260" s="2">
        <f t="shared" si="5"/>
        <v>259</v>
      </c>
      <c r="B260" t="s">
        <v>251</v>
      </c>
      <c r="C260" t="s">
        <v>684</v>
      </c>
      <c r="D260" t="s">
        <v>255</v>
      </c>
      <c r="E260" t="s">
        <v>255</v>
      </c>
      <c r="F260" s="2" t="s">
        <v>302</v>
      </c>
      <c r="H260" s="3">
        <v>-5.6126062322933903E-3</v>
      </c>
      <c r="I260" s="3">
        <v>1.19068696883983E-3</v>
      </c>
      <c r="J260" s="13" t="e">
        <f>IF(#REF!&lt;&gt;0,3/#REF!,"N/A")</f>
        <v>#REF!</v>
      </c>
      <c r="L260" t="s">
        <v>638</v>
      </c>
    </row>
    <row r="261" spans="1:12" x14ac:dyDescent="0.45">
      <c r="A261" s="2">
        <f t="shared" si="5"/>
        <v>260</v>
      </c>
      <c r="B261" t="s">
        <v>251</v>
      </c>
      <c r="C261" t="s">
        <v>684</v>
      </c>
      <c r="D261" t="s">
        <v>256</v>
      </c>
      <c r="E261" t="s">
        <v>256</v>
      </c>
      <c r="F261" s="2" t="s">
        <v>302</v>
      </c>
      <c r="H261" s="3">
        <v>0</v>
      </c>
      <c r="I261" s="3">
        <v>0</v>
      </c>
      <c r="J261" s="13" t="e">
        <f>IF(#REF!&lt;&gt;0,3/#REF!,"N/A")</f>
        <v>#REF!</v>
      </c>
      <c r="L261" t="s">
        <v>638</v>
      </c>
    </row>
    <row r="262" spans="1:12" x14ac:dyDescent="0.45">
      <c r="A262" s="2">
        <f t="shared" si="5"/>
        <v>261</v>
      </c>
      <c r="B262" s="15" t="s">
        <v>251</v>
      </c>
      <c r="C262" s="15" t="s">
        <v>684</v>
      </c>
      <c r="D262" s="15" t="s">
        <v>257</v>
      </c>
      <c r="E262" s="15" t="s">
        <v>528</v>
      </c>
      <c r="F262" s="7" t="s">
        <v>302</v>
      </c>
      <c r="G262" s="15"/>
      <c r="H262" s="20">
        <v>-0.22203909754190099</v>
      </c>
      <c r="I262" s="20">
        <v>5.2512073606900397E-2</v>
      </c>
      <c r="J262" s="24" t="e">
        <f>IF(#REF!&lt;&gt;0,3/#REF!,"N/A")</f>
        <v>#REF!</v>
      </c>
      <c r="K262" s="15"/>
      <c r="L262" s="15" t="s">
        <v>638</v>
      </c>
    </row>
    <row r="263" spans="1:12" ht="14.65" thickBot="1" x14ac:dyDescent="0.5">
      <c r="A263" s="2">
        <f t="shared" si="5"/>
        <v>262</v>
      </c>
      <c r="B263" s="5" t="s">
        <v>258</v>
      </c>
      <c r="C263" s="5" t="s">
        <v>683</v>
      </c>
      <c r="D263" s="5" t="s">
        <v>259</v>
      </c>
      <c r="E263" s="5" t="s">
        <v>529</v>
      </c>
      <c r="F263" s="4" t="s">
        <v>302</v>
      </c>
      <c r="G263" s="5" t="s">
        <v>356</v>
      </c>
      <c r="H263" s="6">
        <v>-0.69665929008750505</v>
      </c>
      <c r="I263" s="6">
        <v>-0.57148811196592597</v>
      </c>
      <c r="J263" s="23">
        <v>0.158807672173572</v>
      </c>
      <c r="K263" s="5"/>
      <c r="L263" s="5" t="s">
        <v>638</v>
      </c>
    </row>
    <row r="264" spans="1:12" x14ac:dyDescent="0.45">
      <c r="A264" s="2">
        <f t="shared" si="5"/>
        <v>263</v>
      </c>
      <c r="B264" t="s">
        <v>258</v>
      </c>
      <c r="D264" t="s">
        <v>695</v>
      </c>
      <c r="E264" t="s">
        <v>699</v>
      </c>
      <c r="F264" s="2" t="s">
        <v>302</v>
      </c>
      <c r="H264" s="3">
        <v>0.33833705716155399</v>
      </c>
      <c r="I264" s="3">
        <v>2.0752737684215899E-2</v>
      </c>
      <c r="J264" s="13">
        <v>0.38668516346655102</v>
      </c>
    </row>
    <row r="265" spans="1:12" x14ac:dyDescent="0.45">
      <c r="A265" s="2">
        <f t="shared" si="5"/>
        <v>264</v>
      </c>
      <c r="B265" t="s">
        <v>258</v>
      </c>
      <c r="C265" t="s">
        <v>683</v>
      </c>
      <c r="D265" t="s">
        <v>260</v>
      </c>
      <c r="E265" t="s">
        <v>530</v>
      </c>
      <c r="F265" s="2" t="s">
        <v>302</v>
      </c>
      <c r="H265" s="3">
        <v>-3.6467902022801</v>
      </c>
      <c r="I265" s="3">
        <v>-0.57021594101123496</v>
      </c>
      <c r="J265" s="13" t="e">
        <f>IF(#REF!&lt;&gt;0,3/#REF!,"N/A")</f>
        <v>#REF!</v>
      </c>
      <c r="L265" t="s">
        <v>638</v>
      </c>
    </row>
    <row r="266" spans="1:12" x14ac:dyDescent="0.45">
      <c r="A266" s="2">
        <f t="shared" si="5"/>
        <v>265</v>
      </c>
      <c r="B266" t="s">
        <v>258</v>
      </c>
      <c r="D266" t="s">
        <v>696</v>
      </c>
      <c r="E266" t="s">
        <v>700</v>
      </c>
      <c r="F266" s="2" t="s">
        <v>302</v>
      </c>
      <c r="H266" s="3">
        <v>0</v>
      </c>
      <c r="I266" s="3">
        <v>0</v>
      </c>
      <c r="J266" s="13">
        <v>0.125</v>
      </c>
    </row>
    <row r="267" spans="1:12" x14ac:dyDescent="0.45">
      <c r="A267" s="2">
        <f t="shared" si="5"/>
        <v>266</v>
      </c>
      <c r="B267" t="s">
        <v>258</v>
      </c>
      <c r="D267" t="s">
        <v>691</v>
      </c>
      <c r="E267" t="s">
        <v>701</v>
      </c>
      <c r="F267" s="2" t="s">
        <v>302</v>
      </c>
      <c r="H267" s="3">
        <v>-1</v>
      </c>
      <c r="I267" s="3">
        <v>0</v>
      </c>
      <c r="J267" s="13">
        <v>0.5</v>
      </c>
    </row>
    <row r="268" spans="1:12" x14ac:dyDescent="0.45">
      <c r="A268" s="2">
        <f t="shared" si="5"/>
        <v>267</v>
      </c>
      <c r="B268" t="s">
        <v>258</v>
      </c>
      <c r="C268" t="s">
        <v>683</v>
      </c>
      <c r="D268" t="s">
        <v>261</v>
      </c>
      <c r="E268" t="s">
        <v>531</v>
      </c>
      <c r="F268" s="2" t="s">
        <v>302</v>
      </c>
      <c r="H268" s="3">
        <v>-2.8385181470369503E-4</v>
      </c>
      <c r="I268" s="3">
        <v>4.9965455276017201E-2</v>
      </c>
      <c r="J268" s="13" t="e">
        <f>IF(#REF!&lt;&gt;0,3/#REF!,"N/A")</f>
        <v>#REF!</v>
      </c>
      <c r="L268" t="s">
        <v>638</v>
      </c>
    </row>
    <row r="269" spans="1:12" x14ac:dyDescent="0.45">
      <c r="A269" s="2">
        <f t="shared" si="5"/>
        <v>268</v>
      </c>
      <c r="B269" t="s">
        <v>258</v>
      </c>
      <c r="D269" t="s">
        <v>693</v>
      </c>
      <c r="E269" t="s">
        <v>702</v>
      </c>
      <c r="F269" s="2" t="s">
        <v>302</v>
      </c>
      <c r="H269" s="3">
        <v>-0.475222657127989</v>
      </c>
      <c r="I269" s="3">
        <v>3.1485056391258799</v>
      </c>
      <c r="J269" s="13">
        <v>0.58516260162601597</v>
      </c>
    </row>
    <row r="270" spans="1:12" x14ac:dyDescent="0.45">
      <c r="A270" s="2">
        <f t="shared" si="5"/>
        <v>269</v>
      </c>
      <c r="B270" t="s">
        <v>258</v>
      </c>
      <c r="C270" t="s">
        <v>683</v>
      </c>
      <c r="D270" t="s">
        <v>262</v>
      </c>
      <c r="E270" t="s">
        <v>532</v>
      </c>
      <c r="F270" s="2" t="s">
        <v>302</v>
      </c>
      <c r="H270" s="3">
        <v>-1.125</v>
      </c>
      <c r="I270" s="3">
        <v>-6.640625E-2</v>
      </c>
      <c r="J270" s="13" t="e">
        <f>IF(#REF!&lt;&gt;0,3/#REF!,"N/A")</f>
        <v>#REF!</v>
      </c>
      <c r="L270" t="s">
        <v>638</v>
      </c>
    </row>
    <row r="271" spans="1:12" x14ac:dyDescent="0.45">
      <c r="A271" s="2">
        <f t="shared" si="5"/>
        <v>270</v>
      </c>
      <c r="B271" s="15" t="s">
        <v>258</v>
      </c>
      <c r="C271" s="15" t="s">
        <v>683</v>
      </c>
      <c r="D271" s="15" t="s">
        <v>263</v>
      </c>
      <c r="E271" s="15" t="s">
        <v>533</v>
      </c>
      <c r="F271" s="7" t="s">
        <v>302</v>
      </c>
      <c r="G271" s="15"/>
      <c r="H271" s="20">
        <v>-1.6356183941933999</v>
      </c>
      <c r="I271" s="20">
        <v>2.4050322445418201E-2</v>
      </c>
      <c r="J271" s="24" t="e">
        <f>IF(#REF!&lt;&gt;0,3/#REF!,"N/A")</f>
        <v>#REF!</v>
      </c>
      <c r="K271" s="15"/>
      <c r="L271" s="15" t="s">
        <v>638</v>
      </c>
    </row>
    <row r="272" spans="1:12" x14ac:dyDescent="0.45">
      <c r="A272" s="2">
        <f t="shared" si="5"/>
        <v>271</v>
      </c>
      <c r="B272" t="s">
        <v>258</v>
      </c>
      <c r="C272" t="s">
        <v>683</v>
      </c>
      <c r="D272" t="s">
        <v>264</v>
      </c>
      <c r="E272" t="s">
        <v>534</v>
      </c>
      <c r="F272" s="2" t="s">
        <v>302</v>
      </c>
      <c r="H272" s="3">
        <v>2.5644984865162299</v>
      </c>
      <c r="I272" s="3">
        <v>0.150454045129335</v>
      </c>
      <c r="J272" s="13" t="e">
        <f>IF(#REF!&lt;&gt;0,3/#REF!,"N/A")</f>
        <v>#REF!</v>
      </c>
      <c r="L272" t="s">
        <v>638</v>
      </c>
    </row>
    <row r="273" spans="1:12" x14ac:dyDescent="0.45">
      <c r="A273" s="2">
        <f t="shared" si="5"/>
        <v>272</v>
      </c>
      <c r="B273" t="s">
        <v>258</v>
      </c>
      <c r="D273" t="s">
        <v>694</v>
      </c>
      <c r="E273" t="s">
        <v>703</v>
      </c>
      <c r="F273" s="2" t="s">
        <v>302</v>
      </c>
      <c r="H273" s="3">
        <v>8.3362278568983993E-3</v>
      </c>
      <c r="I273" s="3">
        <v>4.1681139284472798E-2</v>
      </c>
      <c r="J273" s="13">
        <v>8.3042862982190005E-2</v>
      </c>
    </row>
    <row r="274" spans="1:12" x14ac:dyDescent="0.45">
      <c r="A274" s="2">
        <f t="shared" si="5"/>
        <v>273</v>
      </c>
      <c r="B274" t="s">
        <v>258</v>
      </c>
      <c r="D274" t="s">
        <v>697</v>
      </c>
      <c r="E274" t="s">
        <v>704</v>
      </c>
      <c r="F274" s="2" t="s">
        <v>302</v>
      </c>
      <c r="H274" s="3">
        <v>-1.03965794826681</v>
      </c>
      <c r="I274" s="3">
        <v>8.4535007877224594E-2</v>
      </c>
      <c r="J274" s="13">
        <v>0.43527528164806201</v>
      </c>
    </row>
    <row r="275" spans="1:12" x14ac:dyDescent="0.45">
      <c r="A275" s="2">
        <f t="shared" si="5"/>
        <v>274</v>
      </c>
      <c r="B275" t="s">
        <v>258</v>
      </c>
      <c r="D275" t="s">
        <v>698</v>
      </c>
      <c r="E275" t="s">
        <v>705</v>
      </c>
      <c r="F275" s="2" t="s">
        <v>302</v>
      </c>
      <c r="H275" s="3">
        <v>7.8152136158388397E-2</v>
      </c>
      <c r="I275" s="3">
        <v>-0.49639631816602903</v>
      </c>
      <c r="J275" s="13">
        <v>1.3158135283363801</v>
      </c>
    </row>
    <row r="276" spans="1:12" x14ac:dyDescent="0.45">
      <c r="A276" s="2">
        <f t="shared" si="5"/>
        <v>275</v>
      </c>
      <c r="B276" s="15" t="s">
        <v>258</v>
      </c>
      <c r="C276" s="15" t="s">
        <v>683</v>
      </c>
      <c r="D276" s="15" t="s">
        <v>265</v>
      </c>
      <c r="E276" s="15" t="s">
        <v>535</v>
      </c>
      <c r="F276" s="7" t="s">
        <v>302</v>
      </c>
      <c r="G276" s="15"/>
      <c r="H276" s="20">
        <v>1</v>
      </c>
      <c r="I276" s="20">
        <v>0</v>
      </c>
      <c r="J276" s="24" t="e">
        <f>IF(#REF!&lt;&gt;0,3/#REF!,"N/A")</f>
        <v>#REF!</v>
      </c>
    </row>
    <row r="277" spans="1:12" x14ac:dyDescent="0.45">
      <c r="A277" s="2">
        <f t="shared" si="5"/>
        <v>276</v>
      </c>
      <c r="B277" s="15" t="s">
        <v>258</v>
      </c>
      <c r="C277" s="15" t="s">
        <v>683</v>
      </c>
      <c r="D277" s="15" t="s">
        <v>692</v>
      </c>
      <c r="E277" s="15" t="s">
        <v>535</v>
      </c>
      <c r="F277" s="7" t="s">
        <v>302</v>
      </c>
      <c r="G277" s="15"/>
      <c r="H277" s="20">
        <v>-0.25343772240527501</v>
      </c>
      <c r="I277" s="20">
        <v>2.8551421212316399E-3</v>
      </c>
      <c r="J277" s="24">
        <v>0.325449642392387</v>
      </c>
      <c r="K277" s="15"/>
      <c r="L277" s="15" t="s">
        <v>638</v>
      </c>
    </row>
    <row r="278" spans="1:12" ht="14.65" thickBot="1" x14ac:dyDescent="0.5">
      <c r="A278" s="2">
        <f t="shared" si="5"/>
        <v>277</v>
      </c>
      <c r="B278" s="5" t="s">
        <v>266</v>
      </c>
      <c r="C278" s="5" t="s">
        <v>685</v>
      </c>
      <c r="D278" s="5" t="s">
        <v>267</v>
      </c>
      <c r="E278" s="5" t="s">
        <v>616</v>
      </c>
      <c r="F278" s="4" t="s">
        <v>302</v>
      </c>
      <c r="G278" s="5"/>
      <c r="H278" s="6">
        <v>0</v>
      </c>
      <c r="I278" s="6">
        <v>0</v>
      </c>
      <c r="J278" s="23" t="e">
        <f>IF(#REF!&lt;&gt;0,3/#REF!,"N/A")</f>
        <v>#REF!</v>
      </c>
      <c r="K278" s="5"/>
      <c r="L278" s="5" t="s">
        <v>638</v>
      </c>
    </row>
    <row r="279" spans="1:12" x14ac:dyDescent="0.45">
      <c r="A279" s="2">
        <f t="shared" si="5"/>
        <v>278</v>
      </c>
      <c r="B279" t="s">
        <v>266</v>
      </c>
      <c r="C279" t="s">
        <v>685</v>
      </c>
      <c r="D279" t="s">
        <v>268</v>
      </c>
      <c r="E279" t="s">
        <v>536</v>
      </c>
      <c r="F279" s="2" t="s">
        <v>302</v>
      </c>
      <c r="H279" s="3">
        <v>0</v>
      </c>
      <c r="I279" s="3">
        <v>0</v>
      </c>
      <c r="J279" s="13" t="e">
        <f>IF(#REF!&lt;&gt;0,3/#REF!,"N/A")</f>
        <v>#REF!</v>
      </c>
      <c r="L279" t="s">
        <v>638</v>
      </c>
    </row>
    <row r="280" spans="1:12" x14ac:dyDescent="0.45">
      <c r="A280" s="2">
        <f t="shared" si="5"/>
        <v>279</v>
      </c>
      <c r="B280" s="15" t="s">
        <v>266</v>
      </c>
      <c r="C280" s="15" t="s">
        <v>685</v>
      </c>
      <c r="D280" s="15" t="s">
        <v>269</v>
      </c>
      <c r="E280" s="15" t="s">
        <v>617</v>
      </c>
      <c r="F280" s="7" t="s">
        <v>302</v>
      </c>
      <c r="G280" s="15"/>
      <c r="H280" s="20">
        <v>0.16760835707052199</v>
      </c>
      <c r="I280" s="20">
        <v>6.7221673977560195E-2</v>
      </c>
      <c r="J280" s="24" t="e">
        <f>IF(#REF!&lt;&gt;0,3/#REF!,"N/A")</f>
        <v>#REF!</v>
      </c>
      <c r="K280" s="15"/>
      <c r="L280" s="15" t="s">
        <v>638</v>
      </c>
    </row>
    <row r="281" spans="1:12" x14ac:dyDescent="0.45">
      <c r="A281" s="2">
        <f t="shared" si="5"/>
        <v>280</v>
      </c>
      <c r="B281" t="s">
        <v>266</v>
      </c>
      <c r="C281" t="s">
        <v>685</v>
      </c>
      <c r="D281" t="s">
        <v>270</v>
      </c>
      <c r="E281" t="s">
        <v>618</v>
      </c>
      <c r="F281" s="2" t="s">
        <v>302</v>
      </c>
      <c r="H281" s="3">
        <v>0.99997794894719205</v>
      </c>
      <c r="I281" s="3">
        <v>3.43019728514361E-4</v>
      </c>
      <c r="J281" s="13" t="e">
        <f>IF(#REF!&lt;&gt;0,3/#REF!,"N/A")</f>
        <v>#REF!</v>
      </c>
      <c r="L281" t="s">
        <v>638</v>
      </c>
    </row>
    <row r="282" spans="1:12" x14ac:dyDescent="0.45">
      <c r="A282" s="2">
        <f t="shared" si="5"/>
        <v>281</v>
      </c>
      <c r="B282" t="s">
        <v>266</v>
      </c>
      <c r="C282" t="s">
        <v>685</v>
      </c>
      <c r="D282" t="s">
        <v>271</v>
      </c>
      <c r="E282" t="s">
        <v>619</v>
      </c>
      <c r="F282" s="2" t="s">
        <v>302</v>
      </c>
      <c r="H282" s="3">
        <v>-2.2653064412820599E-3</v>
      </c>
      <c r="I282" s="3">
        <v>-1.00952600415555E-2</v>
      </c>
      <c r="J282" s="13" t="e">
        <f>IF(#REF!&lt;&gt;0,3/#REF!,"N/A")</f>
        <v>#REF!</v>
      </c>
      <c r="L282" t="s">
        <v>638</v>
      </c>
    </row>
    <row r="283" spans="1:12" x14ac:dyDescent="0.45">
      <c r="A283" s="2">
        <f t="shared" si="5"/>
        <v>282</v>
      </c>
      <c r="B283" s="15" t="s">
        <v>266</v>
      </c>
      <c r="C283" s="15" t="s">
        <v>685</v>
      </c>
      <c r="D283" s="15" t="s">
        <v>272</v>
      </c>
      <c r="E283" s="15" t="s">
        <v>620</v>
      </c>
      <c r="F283" s="7" t="s">
        <v>302</v>
      </c>
      <c r="G283" s="15"/>
      <c r="H283" s="20">
        <v>-0.449612977602108</v>
      </c>
      <c r="I283" s="20">
        <v>-0.53004776021080202</v>
      </c>
      <c r="J283" s="24" t="e">
        <f>IF(#REF!&lt;&gt;0,3/#REF!,"N/A")</f>
        <v>#REF!</v>
      </c>
      <c r="K283" s="15"/>
      <c r="L283" s="15" t="s">
        <v>638</v>
      </c>
    </row>
    <row r="284" spans="1:12" x14ac:dyDescent="0.45">
      <c r="A284" s="2">
        <f t="shared" si="5"/>
        <v>283</v>
      </c>
      <c r="B284" t="s">
        <v>273</v>
      </c>
      <c r="C284" t="s">
        <v>681</v>
      </c>
      <c r="D284" t="s">
        <v>274</v>
      </c>
      <c r="E284" t="s">
        <v>621</v>
      </c>
      <c r="F284" s="2" t="s">
        <v>302</v>
      </c>
      <c r="H284" s="3">
        <v>0</v>
      </c>
      <c r="I284" s="3">
        <v>0</v>
      </c>
      <c r="J284" s="13" t="e">
        <f>IF(#REF!&lt;&gt;0,3/#REF!,"N/A")</f>
        <v>#REF!</v>
      </c>
      <c r="L284" t="s">
        <v>638</v>
      </c>
    </row>
    <row r="285" spans="1:12" ht="14.65" thickBot="1" x14ac:dyDescent="0.5">
      <c r="A285" s="2">
        <f t="shared" si="5"/>
        <v>284</v>
      </c>
      <c r="B285" s="5" t="s">
        <v>273</v>
      </c>
      <c r="C285" s="5" t="s">
        <v>681</v>
      </c>
      <c r="D285" s="5" t="s">
        <v>275</v>
      </c>
      <c r="E285" s="5" t="s">
        <v>622</v>
      </c>
      <c r="F285" s="4" t="s">
        <v>302</v>
      </c>
      <c r="G285" s="5"/>
      <c r="H285" s="6">
        <v>0</v>
      </c>
      <c r="I285" s="6">
        <v>0</v>
      </c>
      <c r="J285" s="23" t="e">
        <f>IF(#REF!&lt;&gt;0,3/#REF!,"N/A")</f>
        <v>#REF!</v>
      </c>
      <c r="K285" s="5"/>
      <c r="L285" s="5" t="s">
        <v>638</v>
      </c>
    </row>
    <row r="286" spans="1:12" x14ac:dyDescent="0.45">
      <c r="A286" s="2">
        <f t="shared" si="5"/>
        <v>285</v>
      </c>
      <c r="B286" s="18" t="s">
        <v>361</v>
      </c>
      <c r="C286" s="18" t="s">
        <v>687</v>
      </c>
      <c r="D286" s="18" t="s">
        <v>360</v>
      </c>
      <c r="E286" s="18" t="s">
        <v>626</v>
      </c>
      <c r="F286" s="17" t="s">
        <v>302</v>
      </c>
      <c r="G286" s="18"/>
      <c r="H286" s="19">
        <v>-0.77812499999999996</v>
      </c>
      <c r="I286" s="19">
        <v>3.515625E-2</v>
      </c>
      <c r="J286" s="26" t="e">
        <f>IF(#REF!&lt;&gt;0,3/#REF!,"N/A")</f>
        <v>#REF!</v>
      </c>
      <c r="K286" s="18"/>
      <c r="L286" s="18" t="s">
        <v>638</v>
      </c>
    </row>
    <row r="287" spans="1:12" ht="14.65" thickBot="1" x14ac:dyDescent="0.5">
      <c r="A287" s="2">
        <f t="shared" si="5"/>
        <v>286</v>
      </c>
      <c r="B287" s="5" t="s">
        <v>276</v>
      </c>
      <c r="C287" s="5" t="s">
        <v>646</v>
      </c>
      <c r="D287" s="5" t="s">
        <v>278</v>
      </c>
      <c r="E287" s="5" t="s">
        <v>537</v>
      </c>
      <c r="F287" s="4" t="s">
        <v>302</v>
      </c>
      <c r="G287" s="5"/>
      <c r="H287" s="6">
        <v>-0.826954434020021</v>
      </c>
      <c r="I287" s="6">
        <v>1.5896229075411601</v>
      </c>
      <c r="J287" s="23" t="e">
        <f>IF(#REF!&lt;&gt;0,3/#REF!,"N/A")</f>
        <v>#REF!</v>
      </c>
      <c r="K287" s="5"/>
      <c r="L287" s="5" t="s">
        <v>638</v>
      </c>
    </row>
    <row r="288" spans="1:12" x14ac:dyDescent="0.45">
      <c r="A288" s="2">
        <f t="shared" si="5"/>
        <v>287</v>
      </c>
      <c r="B288" t="s">
        <v>276</v>
      </c>
      <c r="C288" s="21" t="s">
        <v>687</v>
      </c>
      <c r="D288" t="s">
        <v>279</v>
      </c>
      <c r="E288" t="s">
        <v>624</v>
      </c>
      <c r="F288" s="2" t="s">
        <v>302</v>
      </c>
      <c r="H288" s="3">
        <v>-3.1848898182744501</v>
      </c>
      <c r="I288" s="3">
        <v>-0.196294466403164</v>
      </c>
      <c r="J288" s="13" t="e">
        <f>IF(#REF!&lt;&gt;0,3/#REF!,"N/A")</f>
        <v>#REF!</v>
      </c>
      <c r="L288" t="s">
        <v>638</v>
      </c>
    </row>
    <row r="289" spans="1:12" x14ac:dyDescent="0.45">
      <c r="A289" s="2">
        <f t="shared" si="5"/>
        <v>288</v>
      </c>
      <c r="B289" t="s">
        <v>276</v>
      </c>
      <c r="C289" s="21" t="s">
        <v>687</v>
      </c>
      <c r="D289" t="s">
        <v>277</v>
      </c>
      <c r="E289" t="s">
        <v>623</v>
      </c>
      <c r="F289" s="2" t="s">
        <v>302</v>
      </c>
      <c r="H289" s="3">
        <v>-3.14831538728725</v>
      </c>
      <c r="I289" s="3">
        <v>8.3362278568941406E-3</v>
      </c>
      <c r="J289" s="13" t="e">
        <f>IF(#REF!&lt;&gt;0,3/#REF!,"N/A")</f>
        <v>#REF!</v>
      </c>
      <c r="L289" t="s">
        <v>638</v>
      </c>
    </row>
    <row r="290" spans="1:12" x14ac:dyDescent="0.45">
      <c r="A290" s="2">
        <f t="shared" si="5"/>
        <v>289</v>
      </c>
      <c r="B290" t="s">
        <v>276</v>
      </c>
      <c r="C290" t="s">
        <v>646</v>
      </c>
      <c r="D290" t="s">
        <v>280</v>
      </c>
      <c r="E290" t="s">
        <v>647</v>
      </c>
      <c r="F290" s="2" t="s">
        <v>302</v>
      </c>
      <c r="G290" t="s">
        <v>358</v>
      </c>
      <c r="H290" s="3">
        <v>-0.47339389427906398</v>
      </c>
      <c r="I290" s="3">
        <v>4.7485146095140003E-4</v>
      </c>
      <c r="J290" s="13" t="e">
        <f>IF(#REF!&lt;&gt;0,3/#REF!,"N/A")</f>
        <v>#REF!</v>
      </c>
      <c r="L290" t="s">
        <v>638</v>
      </c>
    </row>
    <row r="291" spans="1:12" x14ac:dyDescent="0.45">
      <c r="A291" s="2">
        <f t="shared" si="5"/>
        <v>290</v>
      </c>
      <c r="B291" t="s">
        <v>276</v>
      </c>
      <c r="C291" s="21" t="s">
        <v>687</v>
      </c>
      <c r="D291" t="s">
        <v>281</v>
      </c>
      <c r="E291" t="s">
        <v>625</v>
      </c>
      <c r="F291" s="2" t="s">
        <v>302</v>
      </c>
      <c r="H291" s="3">
        <v>1.5392416007905101</v>
      </c>
      <c r="I291" s="3">
        <v>1.91370223978919E-2</v>
      </c>
      <c r="J291" s="13" t="e">
        <f>IF(#REF!&lt;&gt;0,3/#REF!,"N/A")</f>
        <v>#REF!</v>
      </c>
      <c r="L291" t="s">
        <v>638</v>
      </c>
    </row>
    <row r="292" spans="1:12" x14ac:dyDescent="0.45">
      <c r="A292" s="2">
        <f t="shared" si="5"/>
        <v>291</v>
      </c>
      <c r="B292" t="s">
        <v>276</v>
      </c>
      <c r="C292" t="s">
        <v>646</v>
      </c>
      <c r="D292" t="s">
        <v>282</v>
      </c>
      <c r="E292" t="s">
        <v>539</v>
      </c>
      <c r="F292" s="2" t="s">
        <v>302</v>
      </c>
      <c r="H292" s="3">
        <v>0</v>
      </c>
      <c r="I292" s="3">
        <v>0</v>
      </c>
      <c r="J292" s="13" t="e">
        <f>IF(#REF!&lt;&gt;0,3/#REF!,"N/A")</f>
        <v>#REF!</v>
      </c>
      <c r="L292" t="s">
        <v>638</v>
      </c>
    </row>
    <row r="293" spans="1:12" s="18" customFormat="1" x14ac:dyDescent="0.45">
      <c r="A293" s="2">
        <f t="shared" si="5"/>
        <v>292</v>
      </c>
      <c r="B293" s="15" t="s">
        <v>276</v>
      </c>
      <c r="C293" s="15" t="s">
        <v>646</v>
      </c>
      <c r="D293" s="15" t="s">
        <v>283</v>
      </c>
      <c r="E293" s="15" t="s">
        <v>540</v>
      </c>
      <c r="F293" s="7" t="s">
        <v>302</v>
      </c>
      <c r="G293" s="15" t="s">
        <v>359</v>
      </c>
      <c r="H293" s="20">
        <v>0</v>
      </c>
      <c r="I293" s="20">
        <v>0</v>
      </c>
      <c r="J293" s="24" t="e">
        <f>IF(#REF!&lt;&gt;0,3/#REF!,"N/A")</f>
        <v>#REF!</v>
      </c>
      <c r="K293" s="15"/>
      <c r="L293" s="15" t="s">
        <v>638</v>
      </c>
    </row>
    <row r="294" spans="1:12" x14ac:dyDescent="0.45">
      <c r="A294" s="2">
        <f t="shared" si="5"/>
        <v>293</v>
      </c>
      <c r="B294" t="s">
        <v>284</v>
      </c>
      <c r="C294" t="s">
        <v>686</v>
      </c>
      <c r="D294" t="s">
        <v>285</v>
      </c>
      <c r="E294" t="s">
        <v>627</v>
      </c>
      <c r="F294" s="2" t="s">
        <v>302</v>
      </c>
      <c r="H294">
        <v>1.5315544451803</v>
      </c>
      <c r="I294" s="3">
        <v>3.53980226158776E-2</v>
      </c>
      <c r="J294" s="13" t="e">
        <f>IF(#REF!&lt;&gt;0,3/#REF!,"N/A")</f>
        <v>#REF!</v>
      </c>
      <c r="L294" t="s">
        <v>638</v>
      </c>
    </row>
    <row r="295" spans="1:12" ht="14.65" thickBot="1" x14ac:dyDescent="0.5">
      <c r="A295" s="2">
        <f t="shared" si="5"/>
        <v>294</v>
      </c>
      <c r="B295" s="5" t="s">
        <v>284</v>
      </c>
      <c r="C295" s="5" t="s">
        <v>686</v>
      </c>
      <c r="D295" s="5" t="s">
        <v>287</v>
      </c>
      <c r="E295" s="5" t="s">
        <v>629</v>
      </c>
      <c r="F295" s="4" t="s">
        <v>302</v>
      </c>
      <c r="G295" s="5"/>
      <c r="H295" s="6">
        <v>0</v>
      </c>
      <c r="I295" s="6">
        <v>0</v>
      </c>
      <c r="J295" s="23" t="e">
        <f>IF(#REF!&lt;&gt;0,3/#REF!,"N/A")</f>
        <v>#REF!</v>
      </c>
      <c r="K295" s="5"/>
      <c r="L295" s="5" t="s">
        <v>638</v>
      </c>
    </row>
    <row r="296" spans="1:12" x14ac:dyDescent="0.45">
      <c r="A296" s="2">
        <f t="shared" si="5"/>
        <v>295</v>
      </c>
      <c r="B296" s="15" t="s">
        <v>284</v>
      </c>
      <c r="C296" s="15" t="s">
        <v>686</v>
      </c>
      <c r="D296" s="15" t="s">
        <v>286</v>
      </c>
      <c r="E296" s="15" t="s">
        <v>628</v>
      </c>
      <c r="F296" s="7" t="s">
        <v>302</v>
      </c>
      <c r="G296" s="15"/>
      <c r="H296" s="20">
        <v>0</v>
      </c>
      <c r="I296" s="20">
        <v>0</v>
      </c>
      <c r="J296" s="24" t="e">
        <f>IF(#REF!&lt;&gt;0,3/#REF!,"N/A")</f>
        <v>#REF!</v>
      </c>
      <c r="K296" s="15"/>
      <c r="L296" s="15" t="s">
        <v>638</v>
      </c>
    </row>
    <row r="297" spans="1:12" x14ac:dyDescent="0.45">
      <c r="A297" s="2">
        <f t="shared" si="5"/>
        <v>296</v>
      </c>
      <c r="B297" t="s">
        <v>284</v>
      </c>
      <c r="C297" t="s">
        <v>686</v>
      </c>
      <c r="D297" t="s">
        <v>288</v>
      </c>
      <c r="E297" t="s">
        <v>630</v>
      </c>
      <c r="F297" s="2" t="s">
        <v>302</v>
      </c>
      <c r="H297" s="3">
        <v>-5.5853884353168397E-2</v>
      </c>
      <c r="I297" s="3">
        <v>1.89764329601885E-2</v>
      </c>
      <c r="J297" s="13" t="e">
        <f>IF(#REF!&lt;&gt;0,3/#REF!,"N/A")</f>
        <v>#REF!</v>
      </c>
      <c r="L297" t="s">
        <v>638</v>
      </c>
    </row>
    <row r="298" spans="1:12" x14ac:dyDescent="0.45">
      <c r="A298" s="2">
        <f t="shared" si="5"/>
        <v>297</v>
      </c>
      <c r="B298" t="s">
        <v>284</v>
      </c>
      <c r="C298" t="s">
        <v>686</v>
      </c>
      <c r="D298" t="s">
        <v>289</v>
      </c>
      <c r="E298" t="s">
        <v>631</v>
      </c>
      <c r="F298" s="2" t="s">
        <v>302</v>
      </c>
      <c r="H298" s="3">
        <v>0</v>
      </c>
      <c r="I298" s="3">
        <v>0</v>
      </c>
      <c r="J298" s="13" t="e">
        <f>IF(#REF!&lt;&gt;0,3/#REF!,"N/A")</f>
        <v>#REF!</v>
      </c>
      <c r="L298" t="s">
        <v>638</v>
      </c>
    </row>
    <row r="299" spans="1:12" x14ac:dyDescent="0.45">
      <c r="A299" s="2">
        <f t="shared" ref="A299:A305" si="6">A298+1</f>
        <v>298</v>
      </c>
      <c r="B299" t="s">
        <v>284</v>
      </c>
      <c r="C299" t="s">
        <v>686</v>
      </c>
      <c r="D299" t="s">
        <v>291</v>
      </c>
      <c r="E299" t="s">
        <v>633</v>
      </c>
      <c r="F299" s="2" t="s">
        <v>302</v>
      </c>
      <c r="H299" s="3">
        <v>0</v>
      </c>
      <c r="I299" s="3">
        <v>0</v>
      </c>
      <c r="J299" s="13" t="e">
        <f>IF(#REF!&lt;&gt;0,3/#REF!,"N/A")</f>
        <v>#REF!</v>
      </c>
      <c r="L299" t="s">
        <v>638</v>
      </c>
    </row>
    <row r="300" spans="1:12" x14ac:dyDescent="0.45">
      <c r="A300" s="2">
        <f t="shared" si="6"/>
        <v>299</v>
      </c>
      <c r="B300" t="s">
        <v>284</v>
      </c>
      <c r="C300" t="s">
        <v>686</v>
      </c>
      <c r="D300" t="s">
        <v>290</v>
      </c>
      <c r="E300" t="s">
        <v>632</v>
      </c>
      <c r="F300" s="2" t="s">
        <v>302</v>
      </c>
      <c r="H300" s="3">
        <v>0</v>
      </c>
      <c r="I300" s="3">
        <v>0</v>
      </c>
      <c r="J300" s="13" t="e">
        <f>IF(#REF!&lt;&gt;0,3/#REF!,"N/A")</f>
        <v>#REF!</v>
      </c>
      <c r="L300" t="s">
        <v>638</v>
      </c>
    </row>
    <row r="301" spans="1:12" x14ac:dyDescent="0.45">
      <c r="A301" s="2">
        <f t="shared" si="6"/>
        <v>300</v>
      </c>
      <c r="B301" t="s">
        <v>284</v>
      </c>
      <c r="C301" t="s">
        <v>686</v>
      </c>
      <c r="D301" t="s">
        <v>292</v>
      </c>
      <c r="E301" t="s">
        <v>634</v>
      </c>
      <c r="F301" s="2" t="s">
        <v>302</v>
      </c>
      <c r="H301" s="3">
        <v>0</v>
      </c>
      <c r="I301" s="3">
        <v>0</v>
      </c>
      <c r="J301" s="13" t="e">
        <f>IF(#REF!&lt;&gt;0,3/#REF!,"N/A")</f>
        <v>#REF!</v>
      </c>
      <c r="L301" t="s">
        <v>638</v>
      </c>
    </row>
    <row r="302" spans="1:12" x14ac:dyDescent="0.45">
      <c r="A302" s="2">
        <f t="shared" si="6"/>
        <v>301</v>
      </c>
      <c r="B302" t="s">
        <v>284</v>
      </c>
      <c r="C302" t="s">
        <v>686</v>
      </c>
      <c r="D302" t="s">
        <v>293</v>
      </c>
      <c r="E302" t="s">
        <v>635</v>
      </c>
      <c r="F302" s="2" t="s">
        <v>302</v>
      </c>
      <c r="H302" s="3">
        <v>0</v>
      </c>
      <c r="I302" s="3">
        <v>0</v>
      </c>
      <c r="J302" s="13" t="e">
        <f>IF(#REF!&lt;&gt;0,3/#REF!,"N/A")</f>
        <v>#REF!</v>
      </c>
      <c r="L302" t="s">
        <v>638</v>
      </c>
    </row>
    <row r="303" spans="1:12" x14ac:dyDescent="0.45">
      <c r="A303" s="2">
        <f t="shared" si="6"/>
        <v>302</v>
      </c>
      <c r="B303" t="s">
        <v>284</v>
      </c>
      <c r="C303" t="s">
        <v>686</v>
      </c>
      <c r="D303" t="s">
        <v>294</v>
      </c>
      <c r="E303" t="s">
        <v>538</v>
      </c>
      <c r="F303" s="2" t="s">
        <v>302</v>
      </c>
      <c r="H303" s="3">
        <v>-0.79706422018348599</v>
      </c>
      <c r="I303" s="3">
        <v>1.1009174311926201E-3</v>
      </c>
      <c r="J303" s="13" t="e">
        <f>IF(#REF!&lt;&gt;0,3/#REF!,"N/A")</f>
        <v>#REF!</v>
      </c>
      <c r="L303" t="s">
        <v>638</v>
      </c>
    </row>
    <row r="304" spans="1:12" x14ac:dyDescent="0.45">
      <c r="A304" s="2">
        <f t="shared" si="6"/>
        <v>303</v>
      </c>
      <c r="B304" s="15" t="s">
        <v>284</v>
      </c>
      <c r="C304" s="15" t="s">
        <v>686</v>
      </c>
      <c r="D304" s="15" t="s">
        <v>296</v>
      </c>
      <c r="E304" s="15" t="s">
        <v>637</v>
      </c>
      <c r="F304" s="7" t="s">
        <v>302</v>
      </c>
      <c r="G304" s="15"/>
      <c r="H304" s="20">
        <v>1.32110091743115E-2</v>
      </c>
      <c r="I304" s="20">
        <v>5.72477064220187E-2</v>
      </c>
      <c r="J304" s="24" t="e">
        <f>IF(#REF!&lt;&gt;0,3/#REF!,"N/A")</f>
        <v>#REF!</v>
      </c>
      <c r="K304" s="15"/>
      <c r="L304" s="15" t="s">
        <v>638</v>
      </c>
    </row>
    <row r="305" spans="1:12" x14ac:dyDescent="0.45">
      <c r="A305" s="2">
        <f t="shared" si="6"/>
        <v>304</v>
      </c>
      <c r="B305" t="s">
        <v>284</v>
      </c>
      <c r="C305" t="s">
        <v>686</v>
      </c>
      <c r="D305" t="s">
        <v>295</v>
      </c>
      <c r="E305" t="s">
        <v>636</v>
      </c>
      <c r="F305" s="2" t="s">
        <v>302</v>
      </c>
      <c r="H305" s="3">
        <v>0</v>
      </c>
      <c r="I305" s="3">
        <v>0</v>
      </c>
      <c r="J305" s="13" t="e">
        <f>IF(#REF!&lt;&gt;0,3/#REF!,"N/A")</f>
        <v>#REF!</v>
      </c>
      <c r="L305" t="s">
        <v>638</v>
      </c>
    </row>
    <row r="312" spans="1:12" x14ac:dyDescent="0.45">
      <c r="G312">
        <f>294-244</f>
        <v>50</v>
      </c>
    </row>
  </sheetData>
  <autoFilter ref="A1:L305" xr:uid="{DDCD0A24-47A3-4D2D-80DF-18729F910C8C}">
    <sortState ref="A2:L305">
      <sortCondition ref="B1:B305"/>
    </sortState>
  </autoFilter>
  <conditionalFormatting sqref="F74 F120:F137 F161:F167 F169:F171 F173:F180 F208:F214 F216:F218 F220:F222 F224:F232 F234:F240 F242:F248 F250:F256 F258:F262 F264:F276 F280:F284 F286 F56:F58 F139:F158 F182:F198 F46 F288:F294 F60 F62 F296:F305 F42 F50:F54 F48">
    <cfRule type="cellIs" dxfId="115" priority="185" operator="equal">
      <formula>"Fail"</formula>
    </cfRule>
    <cfRule type="cellIs" dxfId="114" priority="186" operator="equal">
      <formula>"Pass"</formula>
    </cfRule>
  </conditionalFormatting>
  <conditionalFormatting sqref="F200:F206">
    <cfRule type="cellIs" dxfId="113" priority="115" operator="equal">
      <formula>"Fail"</formula>
    </cfRule>
    <cfRule type="cellIs" dxfId="112" priority="116" operator="equal">
      <formula>"Pass"</formula>
    </cfRule>
  </conditionalFormatting>
  <conditionalFormatting sqref="F160">
    <cfRule type="cellIs" dxfId="111" priority="151" operator="equal">
      <formula>"Fail"</formula>
    </cfRule>
    <cfRule type="cellIs" dxfId="110" priority="152" operator="equal">
      <formula>"Pass"</formula>
    </cfRule>
  </conditionalFormatting>
  <conditionalFormatting sqref="F172">
    <cfRule type="cellIs" dxfId="109" priority="147" operator="equal">
      <formula>"Fail"</formula>
    </cfRule>
    <cfRule type="cellIs" dxfId="108" priority="148" operator="equal">
      <formula>"Pass"</formula>
    </cfRule>
  </conditionalFormatting>
  <conditionalFormatting sqref="F263">
    <cfRule type="cellIs" dxfId="107" priority="127" operator="equal">
      <formula>"Fail"</formula>
    </cfRule>
    <cfRule type="cellIs" dxfId="106" priority="128" operator="equal">
      <formula>"Pass"</formula>
    </cfRule>
  </conditionalFormatting>
  <conditionalFormatting sqref="F279">
    <cfRule type="cellIs" dxfId="105" priority="125" operator="equal">
      <formula>"Fail"</formula>
    </cfRule>
    <cfRule type="cellIs" dxfId="104" priority="126" operator="equal">
      <formula>"Pass"</formula>
    </cfRule>
  </conditionalFormatting>
  <conditionalFormatting sqref="F2:F8">
    <cfRule type="cellIs" dxfId="103" priority="111" operator="equal">
      <formula>"Fail"</formula>
    </cfRule>
    <cfRule type="cellIs" dxfId="102" priority="112" operator="equal">
      <formula>"Pass"</formula>
    </cfRule>
  </conditionalFormatting>
  <conditionalFormatting sqref="F9:F13 F15:F17">
    <cfRule type="cellIs" dxfId="101" priority="109" operator="equal">
      <formula>"Fail"</formula>
    </cfRule>
    <cfRule type="cellIs" dxfId="100" priority="110" operator="equal">
      <formula>"Pass"</formula>
    </cfRule>
  </conditionalFormatting>
  <conditionalFormatting sqref="F110">
    <cfRule type="cellIs" dxfId="99" priority="43" operator="equal">
      <formula>"Fail"</formula>
    </cfRule>
    <cfRule type="cellIs" dxfId="98" priority="44" operator="equal">
      <formula>"Pass"</formula>
    </cfRule>
  </conditionalFormatting>
  <conditionalFormatting sqref="F138">
    <cfRule type="cellIs" dxfId="97" priority="39" operator="equal">
      <formula>"Fail"</formula>
    </cfRule>
    <cfRule type="cellIs" dxfId="96" priority="40" operator="equal">
      <formula>"Pass"</formula>
    </cfRule>
  </conditionalFormatting>
  <conditionalFormatting sqref="F19">
    <cfRule type="cellIs" dxfId="95" priority="101" operator="equal">
      <formula>"Fail"</formula>
    </cfRule>
    <cfRule type="cellIs" dxfId="94" priority="102" operator="equal">
      <formula>"Pass"</formula>
    </cfRule>
  </conditionalFormatting>
  <conditionalFormatting sqref="F21:F31">
    <cfRule type="cellIs" dxfId="93" priority="99" operator="equal">
      <formula>"Fail"</formula>
    </cfRule>
    <cfRule type="cellIs" dxfId="92" priority="100" operator="equal">
      <formula>"Pass"</formula>
    </cfRule>
  </conditionalFormatting>
  <conditionalFormatting sqref="F33:F35">
    <cfRule type="cellIs" dxfId="91" priority="97" operator="equal">
      <formula>"Fail"</formula>
    </cfRule>
    <cfRule type="cellIs" dxfId="90" priority="98" operator="equal">
      <formula>"Pass"</formula>
    </cfRule>
  </conditionalFormatting>
  <conditionalFormatting sqref="F41">
    <cfRule type="cellIs" dxfId="89" priority="95" operator="equal">
      <formula>"Fail"</formula>
    </cfRule>
    <cfRule type="cellIs" dxfId="88" priority="96" operator="equal">
      <formula>"Pass"</formula>
    </cfRule>
  </conditionalFormatting>
  <conditionalFormatting sqref="F44">
    <cfRule type="cellIs" dxfId="87" priority="93" operator="equal">
      <formula>"Fail"</formula>
    </cfRule>
    <cfRule type="cellIs" dxfId="86" priority="94" operator="equal">
      <formula>"Pass"</formula>
    </cfRule>
  </conditionalFormatting>
  <conditionalFormatting sqref="F63:F68">
    <cfRule type="cellIs" dxfId="85" priority="91" operator="equal">
      <formula>"Fail"</formula>
    </cfRule>
    <cfRule type="cellIs" dxfId="84" priority="92" operator="equal">
      <formula>"Pass"</formula>
    </cfRule>
  </conditionalFormatting>
  <conditionalFormatting sqref="F70:F71">
    <cfRule type="cellIs" dxfId="83" priority="89" operator="equal">
      <formula>"Fail"</formula>
    </cfRule>
    <cfRule type="cellIs" dxfId="82" priority="90" operator="equal">
      <formula>"Pass"</formula>
    </cfRule>
  </conditionalFormatting>
  <conditionalFormatting sqref="F73">
    <cfRule type="cellIs" dxfId="81" priority="87" operator="equal">
      <formula>"Fail"</formula>
    </cfRule>
    <cfRule type="cellIs" dxfId="80" priority="88" operator="equal">
      <formula>"Pass"</formula>
    </cfRule>
  </conditionalFormatting>
  <conditionalFormatting sqref="F75:F80 F82:F83">
    <cfRule type="cellIs" dxfId="79" priority="85" operator="equal">
      <formula>"Fail"</formula>
    </cfRule>
    <cfRule type="cellIs" dxfId="78" priority="86" operator="equal">
      <formula>"Pass"</formula>
    </cfRule>
  </conditionalFormatting>
  <conditionalFormatting sqref="F81">
    <cfRule type="cellIs" dxfId="77" priority="83" operator="equal">
      <formula>"Fail"</formula>
    </cfRule>
    <cfRule type="cellIs" dxfId="76" priority="84" operator="equal">
      <formula>"Pass"</formula>
    </cfRule>
  </conditionalFormatting>
  <conditionalFormatting sqref="F85:F91">
    <cfRule type="cellIs" dxfId="75" priority="81" operator="equal">
      <formula>"Fail"</formula>
    </cfRule>
    <cfRule type="cellIs" dxfId="74" priority="82" operator="equal">
      <formula>"Pass"</formula>
    </cfRule>
  </conditionalFormatting>
  <conditionalFormatting sqref="F93:F109">
    <cfRule type="cellIs" dxfId="73" priority="79" operator="equal">
      <formula>"Fail"</formula>
    </cfRule>
    <cfRule type="cellIs" dxfId="72" priority="80" operator="equal">
      <formula>"Pass"</formula>
    </cfRule>
  </conditionalFormatting>
  <conditionalFormatting sqref="F111:F114">
    <cfRule type="cellIs" dxfId="71" priority="77" operator="equal">
      <formula>"Fail"</formula>
    </cfRule>
    <cfRule type="cellIs" dxfId="70" priority="78" operator="equal">
      <formula>"Pass"</formula>
    </cfRule>
  </conditionalFormatting>
  <conditionalFormatting sqref="F116:F119">
    <cfRule type="cellIs" dxfId="69" priority="75" operator="equal">
      <formula>"Fail"</formula>
    </cfRule>
    <cfRule type="cellIs" dxfId="68" priority="76" operator="equal">
      <formula>"Pass"</formula>
    </cfRule>
  </conditionalFormatting>
  <conditionalFormatting sqref="F181">
    <cfRule type="cellIs" dxfId="67" priority="73" operator="equal">
      <formula>"Fail"</formula>
    </cfRule>
    <cfRule type="cellIs" dxfId="66" priority="74" operator="equal">
      <formula>"Pass"</formula>
    </cfRule>
  </conditionalFormatting>
  <conditionalFormatting sqref="F14">
    <cfRule type="cellIs" dxfId="65" priority="71" operator="equal">
      <formula>"Fail"</formula>
    </cfRule>
    <cfRule type="cellIs" dxfId="64" priority="72" operator="equal">
      <formula>"Pass"</formula>
    </cfRule>
  </conditionalFormatting>
  <conditionalFormatting sqref="F18">
    <cfRule type="cellIs" dxfId="63" priority="69" operator="equal">
      <formula>"Fail"</formula>
    </cfRule>
    <cfRule type="cellIs" dxfId="62" priority="70" operator="equal">
      <formula>"Pass"</formula>
    </cfRule>
  </conditionalFormatting>
  <conditionalFormatting sqref="F20">
    <cfRule type="cellIs" dxfId="61" priority="67" operator="equal">
      <formula>"Fail"</formula>
    </cfRule>
    <cfRule type="cellIs" dxfId="60" priority="68" operator="equal">
      <formula>"Pass"</formula>
    </cfRule>
  </conditionalFormatting>
  <conditionalFormatting sqref="F32">
    <cfRule type="cellIs" dxfId="59" priority="65" operator="equal">
      <formula>"Fail"</formula>
    </cfRule>
    <cfRule type="cellIs" dxfId="58" priority="66" operator="equal">
      <formula>"Pass"</formula>
    </cfRule>
  </conditionalFormatting>
  <conditionalFormatting sqref="F36:F40">
    <cfRule type="cellIs" dxfId="57" priority="63" operator="equal">
      <formula>"Fail"</formula>
    </cfRule>
    <cfRule type="cellIs" dxfId="56" priority="64" operator="equal">
      <formula>"Pass"</formula>
    </cfRule>
  </conditionalFormatting>
  <conditionalFormatting sqref="F45">
    <cfRule type="cellIs" dxfId="55" priority="61" operator="equal">
      <formula>"Fail"</formula>
    </cfRule>
    <cfRule type="cellIs" dxfId="54" priority="62" operator="equal">
      <formula>"Pass"</formula>
    </cfRule>
  </conditionalFormatting>
  <conditionalFormatting sqref="F47">
    <cfRule type="cellIs" dxfId="53" priority="59" operator="equal">
      <formula>"Fail"</formula>
    </cfRule>
    <cfRule type="cellIs" dxfId="52" priority="60" operator="equal">
      <formula>"Pass"</formula>
    </cfRule>
  </conditionalFormatting>
  <conditionalFormatting sqref="F55">
    <cfRule type="cellIs" dxfId="51" priority="57" operator="equal">
      <formula>"Fail"</formula>
    </cfRule>
    <cfRule type="cellIs" dxfId="50" priority="58" operator="equal">
      <formula>"Pass"</formula>
    </cfRule>
  </conditionalFormatting>
  <conditionalFormatting sqref="F59">
    <cfRule type="cellIs" dxfId="49" priority="55" operator="equal">
      <formula>"Fail"</formula>
    </cfRule>
    <cfRule type="cellIs" dxfId="48" priority="56" operator="equal">
      <formula>"Pass"</formula>
    </cfRule>
  </conditionalFormatting>
  <conditionalFormatting sqref="F61">
    <cfRule type="cellIs" dxfId="47" priority="53" operator="equal">
      <formula>"Fail"</formula>
    </cfRule>
    <cfRule type="cellIs" dxfId="46" priority="54" operator="equal">
      <formula>"Pass"</formula>
    </cfRule>
  </conditionalFormatting>
  <conditionalFormatting sqref="F69">
    <cfRule type="cellIs" dxfId="45" priority="51" operator="equal">
      <formula>"Fail"</formula>
    </cfRule>
    <cfRule type="cellIs" dxfId="44" priority="52" operator="equal">
      <formula>"Pass"</formula>
    </cfRule>
  </conditionalFormatting>
  <conditionalFormatting sqref="F72">
    <cfRule type="cellIs" dxfId="43" priority="49" operator="equal">
      <formula>"Fail"</formula>
    </cfRule>
    <cfRule type="cellIs" dxfId="42" priority="50" operator="equal">
      <formula>"Pass"</formula>
    </cfRule>
  </conditionalFormatting>
  <conditionalFormatting sqref="F84">
    <cfRule type="cellIs" dxfId="41" priority="47" operator="equal">
      <formula>"Fail"</formula>
    </cfRule>
    <cfRule type="cellIs" dxfId="40" priority="48" operator="equal">
      <formula>"Pass"</formula>
    </cfRule>
  </conditionalFormatting>
  <conditionalFormatting sqref="F92">
    <cfRule type="cellIs" dxfId="39" priority="45" operator="equal">
      <formula>"Fail"</formula>
    </cfRule>
    <cfRule type="cellIs" dxfId="38" priority="46" operator="equal">
      <formula>"Pass"</formula>
    </cfRule>
  </conditionalFormatting>
  <conditionalFormatting sqref="F115">
    <cfRule type="cellIs" dxfId="37" priority="41" operator="equal">
      <formula>"Fail"</formula>
    </cfRule>
    <cfRule type="cellIs" dxfId="36" priority="42" operator="equal">
      <formula>"Pass"</formula>
    </cfRule>
  </conditionalFormatting>
  <conditionalFormatting sqref="F159">
    <cfRule type="cellIs" dxfId="35" priority="37" operator="equal">
      <formula>"Fail"</formula>
    </cfRule>
    <cfRule type="cellIs" dxfId="34" priority="38" operator="equal">
      <formula>"Pass"</formula>
    </cfRule>
  </conditionalFormatting>
  <conditionalFormatting sqref="F168">
    <cfRule type="cellIs" dxfId="33" priority="35" operator="equal">
      <formula>"Fail"</formula>
    </cfRule>
    <cfRule type="cellIs" dxfId="32" priority="36" operator="equal">
      <formula>"Pass"</formula>
    </cfRule>
  </conditionalFormatting>
  <conditionalFormatting sqref="F199">
    <cfRule type="cellIs" dxfId="31" priority="33" operator="equal">
      <formula>"Fail"</formula>
    </cfRule>
    <cfRule type="cellIs" dxfId="30" priority="34" operator="equal">
      <formula>"Pass"</formula>
    </cfRule>
  </conditionalFormatting>
  <conditionalFormatting sqref="F207">
    <cfRule type="cellIs" dxfId="29" priority="31" operator="equal">
      <formula>"Fail"</formula>
    </cfRule>
    <cfRule type="cellIs" dxfId="28" priority="32" operator="equal">
      <formula>"Pass"</formula>
    </cfRule>
  </conditionalFormatting>
  <conditionalFormatting sqref="F215">
    <cfRule type="cellIs" dxfId="27" priority="29" operator="equal">
      <formula>"Fail"</formula>
    </cfRule>
    <cfRule type="cellIs" dxfId="26" priority="30" operator="equal">
      <formula>"Pass"</formula>
    </cfRule>
  </conditionalFormatting>
  <conditionalFormatting sqref="F219">
    <cfRule type="cellIs" dxfId="25" priority="27" operator="equal">
      <formula>"Fail"</formula>
    </cfRule>
    <cfRule type="cellIs" dxfId="24" priority="28" operator="equal">
      <formula>"Pass"</formula>
    </cfRule>
  </conditionalFormatting>
  <conditionalFormatting sqref="F223">
    <cfRule type="cellIs" dxfId="23" priority="25" operator="equal">
      <formula>"Fail"</formula>
    </cfRule>
    <cfRule type="cellIs" dxfId="22" priority="26" operator="equal">
      <formula>"Pass"</formula>
    </cfRule>
  </conditionalFormatting>
  <conditionalFormatting sqref="F233">
    <cfRule type="cellIs" dxfId="21" priority="23" operator="equal">
      <formula>"Fail"</formula>
    </cfRule>
    <cfRule type="cellIs" dxfId="20" priority="24" operator="equal">
      <formula>"Pass"</formula>
    </cfRule>
  </conditionalFormatting>
  <conditionalFormatting sqref="F241">
    <cfRule type="cellIs" dxfId="19" priority="21" operator="equal">
      <formula>"Fail"</formula>
    </cfRule>
    <cfRule type="cellIs" dxfId="18" priority="22" operator="equal">
      <formula>"Pass"</formula>
    </cfRule>
  </conditionalFormatting>
  <conditionalFormatting sqref="F249">
    <cfRule type="cellIs" dxfId="17" priority="19" operator="equal">
      <formula>"Fail"</formula>
    </cfRule>
    <cfRule type="cellIs" dxfId="16" priority="20" operator="equal">
      <formula>"Pass"</formula>
    </cfRule>
  </conditionalFormatting>
  <conditionalFormatting sqref="F257">
    <cfRule type="cellIs" dxfId="15" priority="17" operator="equal">
      <formula>"Fail"</formula>
    </cfRule>
    <cfRule type="cellIs" dxfId="14" priority="18" operator="equal">
      <formula>"Pass"</formula>
    </cfRule>
  </conditionalFormatting>
  <conditionalFormatting sqref="F278">
    <cfRule type="cellIs" dxfId="13" priority="15" operator="equal">
      <formula>"Fail"</formula>
    </cfRule>
    <cfRule type="cellIs" dxfId="12" priority="16" operator="equal">
      <formula>"Pass"</formula>
    </cfRule>
  </conditionalFormatting>
  <conditionalFormatting sqref="F285">
    <cfRule type="cellIs" dxfId="11" priority="13" operator="equal">
      <formula>"Fail"</formula>
    </cfRule>
    <cfRule type="cellIs" dxfId="10" priority="14" operator="equal">
      <formula>"Pass"</formula>
    </cfRule>
  </conditionalFormatting>
  <conditionalFormatting sqref="F287">
    <cfRule type="cellIs" dxfId="9" priority="11" operator="equal">
      <formula>"Fail"</formula>
    </cfRule>
    <cfRule type="cellIs" dxfId="8" priority="12" operator="equal">
      <formula>"Pass"</formula>
    </cfRule>
  </conditionalFormatting>
  <conditionalFormatting sqref="F295">
    <cfRule type="cellIs" dxfId="7" priority="9" operator="equal">
      <formula>"Fail"</formula>
    </cfRule>
    <cfRule type="cellIs" dxfId="6" priority="10" operator="equal">
      <formula>"Pass"</formula>
    </cfRule>
  </conditionalFormatting>
  <conditionalFormatting sqref="F277">
    <cfRule type="cellIs" dxfId="5" priority="5" operator="equal">
      <formula>"Fail"</formula>
    </cfRule>
    <cfRule type="cellIs" dxfId="4" priority="6" operator="equal">
      <formula>"Pass"</formula>
    </cfRule>
  </conditionalFormatting>
  <conditionalFormatting sqref="F43">
    <cfRule type="cellIs" dxfId="3" priority="3" operator="equal">
      <formula>"Fail"</formula>
    </cfRule>
    <cfRule type="cellIs" dxfId="2" priority="4" operator="equal">
      <formula>"Pass"</formula>
    </cfRule>
  </conditionalFormatting>
  <conditionalFormatting sqref="F49">
    <cfRule type="cellIs" dxfId="1" priority="1" operator="equal">
      <formula>"Fail"</formula>
    </cfRule>
    <cfRule type="cellIs" dxfId="0" priority="2" operator="equal">
      <formula>"Pass"</formula>
    </cfRule>
  </conditionalFormatting>
  <dataValidations disablePrompts="1" count="2">
    <dataValidation type="list" allowBlank="1" showInputMessage="1" showErrorMessage="1" sqref="F120:F305 F74 F42:F43 F45:F62" xr:uid="{00000000-0002-0000-0000-000000000000}">
      <formula1>"Pass, Fail"</formula1>
    </dataValidation>
    <dataValidation type="list" allowBlank="1" showInputMessage="1" showErrorMessage="1" sqref="F44 F63:F73 F75:F119 F2:F41" xr:uid="{00000000-0002-0000-0000-000001000000}">
      <formula1>"Pass,Fail"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8A3E1-4185-4723-8E90-0367393E96D6}">
  <dimension ref="C3:D7"/>
  <sheetViews>
    <sheetView workbookViewId="0">
      <selection activeCell="C3" sqref="C3:D7"/>
    </sheetView>
  </sheetViews>
  <sheetFormatPr defaultRowHeight="14.25" x14ac:dyDescent="0.45"/>
  <cols>
    <col min="3" max="3" width="24.86328125" customWidth="1"/>
    <col min="4" max="4" width="32" customWidth="1"/>
  </cols>
  <sheetData>
    <row r="3" spans="3:4" x14ac:dyDescent="0.45">
      <c r="C3" t="s">
        <v>343</v>
      </c>
      <c r="D3" t="s">
        <v>351</v>
      </c>
    </row>
    <row r="4" spans="3:4" x14ac:dyDescent="0.45">
      <c r="C4" t="s">
        <v>346</v>
      </c>
      <c r="D4" t="s">
        <v>349</v>
      </c>
    </row>
    <row r="5" spans="3:4" x14ac:dyDescent="0.45">
      <c r="C5" t="s">
        <v>345</v>
      </c>
      <c r="D5" t="s">
        <v>348</v>
      </c>
    </row>
    <row r="6" spans="3:4" x14ac:dyDescent="0.45">
      <c r="C6" t="s">
        <v>347</v>
      </c>
      <c r="D6" t="s">
        <v>350</v>
      </c>
    </row>
    <row r="7" spans="3:4" x14ac:dyDescent="0.45">
      <c r="C7" t="s">
        <v>344</v>
      </c>
      <c r="D7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FractalRegistry</vt:lpstr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</cp:lastModifiedBy>
  <cp:lastPrinted>2026-06-06T00:11:13Z</cp:lastPrinted>
  <dcterms:created xsi:type="dcterms:W3CDTF">2026-05-16T14:54:53Z</dcterms:created>
  <dcterms:modified xsi:type="dcterms:W3CDTF">2026-06-06T17:01:57Z</dcterms:modified>
</cp:coreProperties>
</file>